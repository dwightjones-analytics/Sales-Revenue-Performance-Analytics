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45ae6933b043b698/Documents/Excel_Dashboard/"/>
    </mc:Choice>
  </mc:AlternateContent>
  <xr:revisionPtr revIDLastSave="0" documentId="14_{4D273A08-23C2-4087-94B5-F72022B2ACA8}" xr6:coauthVersionLast="47" xr6:coauthVersionMax="47" xr10:uidLastSave="{00000000-0000-0000-0000-000000000000}"/>
  <bookViews>
    <workbookView xWindow="-120" yWindow="-120" windowWidth="20730" windowHeight="11040" firstSheet="2" activeTab="5" xr2:uid="{9E8B61CC-C0F2-458A-B328-B0284AF5DDAA}"/>
  </bookViews>
  <sheets>
    <sheet name="Sales_Data" sheetId="1" r:id="rId1"/>
    <sheet name="Dashboard_Plan" sheetId="2" r:id="rId2"/>
    <sheet name="Detail1" sheetId="6" r:id="rId3"/>
    <sheet name="Supporting_Pivots" sheetId="3" r:id="rId4"/>
    <sheet name="Sales_Dashboard" sheetId="4" state="hidden" r:id="rId5"/>
    <sheet name="Sales_Revenue_Dashboard" sheetId="5" r:id="rId6"/>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2" i="5" l="1"/>
  <c r="Q7" i="4"/>
  <c r="B7" i="4"/>
  <c r="L7" i="4"/>
  <c r="G7" i="4"/>
</calcChain>
</file>

<file path=xl/sharedStrings.xml><?xml version="1.0" encoding="utf-8"?>
<sst xmlns="http://schemas.openxmlformats.org/spreadsheetml/2006/main" count="17473" uniqueCount="2126">
  <si>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</si>
  <si>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</si>
  <si>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</si>
  <si>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</si>
  <si>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</si>
  <si>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</si>
  <si>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</si>
  <si>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</si>
  <si>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</si>
  <si>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</si>
  <si>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</si>
  <si>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</si>
  <si>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</si>
  <si>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</si>
  <si>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</si>
  <si>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</si>
  <si>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</si>
  <si>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</si>
  <si>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</si>
  <si>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</si>
  <si>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</si>
  <si>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</si>
  <si>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</si>
  <si>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</si>
  <si>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</si>
  <si>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</si>
  <si>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</si>
  <si>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</si>
  <si>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</si>
  <si>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</si>
  <si>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</si>
  <si>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</si>
  <si>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</si>
  <si>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</si>
  <si>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</si>
  <si>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</si>
  <si>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</si>
  <si>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</si>
  <si>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</si>
  <si>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</si>
  <si>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</si>
  <si>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</si>
  <si>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</si>
  <si>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</si>
  <si>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</si>
  <si>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</si>
  <si>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</si>
  <si>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</si>
  <si>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</si>
  <si>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</si>
  <si>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</si>
  <si>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</si>
  <si>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</si>
  <si>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</si>
  <si>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</si>
  <si>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</si>
  <si>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</si>
  <si>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</si>
  <si>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</si>
  <si>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</si>
  <si>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</si>
  <si>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</si>
  <si>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</si>
  <si>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</si>
  <si>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</si>
  <si>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</si>
  <si>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</si>
  <si>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</si>
  <si>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</si>
  <si>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</si>
  <si>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</si>
  <si>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</si>
  <si>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</si>
  <si>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</si>
  <si>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</si>
  <si>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</si>
  <si>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</si>
  <si>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</si>
  <si>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</si>
  <si>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</si>
  <si>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</si>
  <si>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</si>
  <si>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</si>
  <si>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</si>
  <si>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</si>
  <si>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</si>
  <si>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</si>
  <si>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</si>
  <si>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</si>
  <si>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</si>
  <si>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</si>
  <si>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</si>
  <si>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</si>
  <si>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</si>
  <si>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</si>
  <si>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</si>
  <si>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</si>
  <si>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</si>
  <si>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</si>
  <si>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</si>
  <si>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</si>
  <si>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</si>
  <si>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</si>
  <si>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</si>
  <si>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</si>
  <si>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</si>
  <si>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</si>
  <si>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</si>
  <si>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</si>
  <si>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</si>
  <si>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</si>
  <si>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</si>
  <si>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</si>
  <si>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</si>
  <si>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</si>
  <si>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</si>
  <si>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</si>
  <si>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</si>
  <si>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</si>
  <si>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</si>
  <si>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</si>
  <si>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</si>
  <si>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</si>
  <si>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</si>
  <si>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</si>
  <si>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</si>
  <si>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</si>
  <si>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</si>
  <si>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</si>
  <si>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</si>
  <si>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</si>
  <si>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</si>
  <si>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</si>
  <si>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</si>
  <si>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</si>
  <si>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</si>
  <si>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</si>
  <si>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</si>
  <si>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</si>
  <si>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</si>
  <si>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</si>
  <si>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</si>
  <si>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</si>
  <si>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</si>
  <si>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</si>
  <si>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</si>
  <si>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</si>
  <si>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</si>
  <si>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</si>
  <si>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</si>
  <si>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</si>
  <si>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</si>
  <si>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</si>
  <si>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</si>
  <si>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</si>
  <si>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</si>
  <si>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</si>
  <si>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</si>
  <si>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</si>
  <si>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</si>
  <si>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</si>
  <si>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</si>
  <si>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</si>
  <si>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</si>
  <si>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</si>
  <si>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</si>
  <si>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</si>
  <si>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</si>
  <si>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</si>
  <si>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</si>
  <si>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</si>
  <si>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</si>
  <si>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</si>
  <si>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</si>
  <si>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</si>
  <si>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</si>
  <si>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</si>
  <si>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</si>
  <si>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</si>
  <si>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</si>
  <si>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</si>
  <si>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</si>
  <si>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</si>
  <si>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</si>
  <si>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</si>
  <si>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</si>
  <si>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</si>
  <si>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</si>
  <si>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</si>
  <si>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</si>
  <si>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</si>
  <si>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</si>
  <si>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</si>
  <si>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</si>
  <si>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</si>
  <si>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</si>
  <si>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</si>
  <si>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</si>
  <si>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</si>
  <si>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</si>
  <si>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</si>
  <si>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</si>
  <si>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</si>
  <si>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</si>
  <si>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</si>
  <si>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</si>
  <si>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</si>
  <si>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</si>
  <si>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</si>
  <si>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</si>
  <si>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</si>
  <si>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</si>
  <si>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</si>
  <si>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</si>
  <si>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</si>
  <si>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</si>
  <si>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</si>
  <si>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</si>
  <si>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</si>
  <si>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</si>
  <si>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</si>
  <si>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</si>
  <si>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</si>
  <si>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</si>
  <si>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</si>
  <si>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</si>
  <si>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</si>
  <si>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</si>
  <si>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</si>
  <si>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</si>
  <si>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</si>
  <si>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</si>
  <si>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</si>
  <si>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</si>
  <si>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</si>
  <si>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</si>
  <si>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</si>
  <si>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</si>
  <si>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</si>
  <si>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</si>
  <si>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</si>
  <si>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</si>
  <si>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</si>
  <si>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</si>
  <si>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</si>
  <si>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</si>
  <si>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</si>
  <si>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</si>
  <si>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</si>
  <si>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</si>
  <si>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</si>
  <si>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</si>
  <si>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</si>
  <si>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</si>
  <si>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</si>
  <si>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</si>
  <si>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</si>
  <si>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</si>
  <si>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</si>
  <si>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</si>
  <si>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</si>
  <si>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</si>
  <si>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</si>
  <si>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</si>
  <si>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</si>
  <si>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</si>
  <si>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</si>
  <si>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</si>
  <si>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</si>
  <si>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</si>
  <si>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</si>
  <si>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</si>
  <si>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</si>
  <si>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</si>
  <si>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</si>
  <si>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</si>
  <si>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</si>
  <si>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</si>
  <si>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</si>
  <si>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</si>
  <si>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</si>
  <si>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</si>
  <si>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</si>
  <si>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</si>
  <si>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</si>
  <si>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</si>
  <si>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</si>
  <si>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</si>
  <si>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</si>
  <si>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</si>
  <si>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</si>
  <si>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</si>
  <si>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</si>
  <si>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</si>
  <si>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</si>
  <si>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</si>
  <si>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</si>
  <si>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</si>
  <si>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</si>
  <si>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</si>
  <si>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</si>
  <si>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</si>
  <si>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</si>
  <si>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</si>
  <si>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</si>
  <si>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</si>
  <si>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</si>
  <si>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</si>
  <si>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</si>
  <si>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</si>
  <si>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</si>
  <si>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</si>
  <si>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</si>
  <si>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</si>
  <si>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</si>
  <si>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</si>
  <si>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</si>
  <si>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</si>
  <si>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</si>
  <si>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</si>
  <si>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</si>
  <si>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</si>
  <si>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</si>
  <si>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</si>
  <si>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</si>
  <si>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</si>
  <si>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</si>
  <si>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</si>
  <si>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</si>
  <si>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</si>
  <si>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</si>
  <si>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</si>
  <si>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</si>
  <si>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</si>
  <si>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</si>
  <si>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</si>
  <si>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</si>
  <si>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</si>
  <si>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</si>
  <si>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</si>
  <si>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</si>
  <si>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</si>
  <si>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</si>
  <si>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</si>
  <si>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</si>
  <si>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</si>
  <si>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</si>
  <si>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</si>
  <si>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</si>
  <si>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</si>
  <si>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</si>
  <si>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</si>
  <si>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</si>
  <si>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</si>
  <si>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</si>
  <si>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</si>
  <si>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</si>
  <si>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</si>
  <si>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</si>
  <si>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</si>
  <si>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</si>
  <si>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</si>
  <si>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</si>
  <si>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</si>
  <si>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</si>
  <si>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</si>
  <si>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</si>
  <si>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</si>
  <si>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</si>
  <si>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</si>
  <si>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</si>
  <si>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</si>
  <si>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</si>
  <si>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</si>
  <si>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</si>
  <si>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</si>
  <si>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</si>
  <si>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</si>
  <si>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</si>
  <si>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</si>
  <si>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</si>
  <si>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</si>
  <si>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</si>
  <si>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</si>
  <si>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</si>
  <si>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</si>
  <si>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</si>
  <si>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</si>
  <si>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</si>
  <si>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</si>
  <si>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</si>
  <si>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</si>
  <si>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</si>
  <si>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</si>
  <si>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</si>
  <si>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</si>
  <si>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</si>
  <si>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</si>
  <si>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</si>
  <si>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</si>
  <si>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</si>
  <si>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</si>
  <si>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</si>
  <si>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</si>
  <si>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</si>
  <si>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</si>
  <si>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</si>
  <si>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</si>
  <si>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</si>
  <si>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</si>
  <si>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</si>
  <si>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</si>
  <si>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</si>
  <si>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</si>
  <si>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</si>
  <si>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</si>
  <si>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</si>
  <si>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</si>
  <si>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</si>
  <si>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</si>
  <si>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</si>
  <si>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</si>
  <si>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</si>
  <si>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</si>
  <si>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</si>
  <si>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</si>
  <si>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</si>
  <si>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</si>
  <si>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</si>
  <si>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</si>
  <si>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</si>
  <si>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</si>
  <si>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</si>
  <si>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</si>
  <si>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</si>
  <si>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</si>
  <si>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</si>
  <si>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</si>
  <si>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</si>
  <si>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</si>
  <si>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</si>
  <si>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</si>
  <si>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</si>
  <si>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</si>
  <si>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</si>
  <si>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</si>
  <si>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</si>
  <si>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</si>
  <si>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</si>
  <si>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</si>
  <si>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</si>
  <si>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</si>
  <si>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</si>
  <si>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</si>
  <si>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</si>
  <si>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</si>
  <si>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</si>
  <si>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</si>
  <si>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</si>
  <si>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</si>
  <si>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</si>
  <si>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</si>
  <si>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</si>
  <si>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</si>
  <si>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</si>
  <si>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</si>
  <si>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</si>
  <si>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</si>
  <si>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</si>
  <si>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</si>
  <si>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</si>
  <si>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</si>
  <si>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</si>
  <si>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</si>
  <si>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</si>
  <si>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</si>
  <si>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</si>
  <si>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</si>
  <si>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</si>
  <si>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</si>
  <si>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</si>
  <si>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</si>
  <si>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</si>
  <si>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</si>
  <si>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</si>
  <si>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</si>
  <si>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</si>
  <si>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</si>
  <si>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</si>
  <si>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</si>
  <si>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</si>
  <si>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</si>
  <si>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</si>
  <si>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</si>
  <si>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</si>
  <si>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</si>
  <si>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</si>
  <si>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</si>
  <si>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</si>
  <si>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</si>
  <si>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</si>
  <si>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</si>
  <si>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</si>
  <si>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</si>
  <si>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</si>
  <si>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</si>
  <si>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</si>
  <si>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</si>
  <si>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</si>
  <si>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</si>
  <si>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</si>
  <si>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</si>
  <si>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</si>
  <si>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</si>
  <si>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</si>
  <si>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</si>
  <si>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</si>
  <si>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</si>
  <si>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</si>
  <si>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</si>
  <si>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</si>
  <si>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</si>
  <si>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</si>
  <si>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</si>
  <si>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</si>
  <si>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</si>
  <si>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</si>
  <si>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</si>
  <si>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</si>
  <si>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</si>
  <si>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</si>
  <si>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</si>
  <si>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</si>
  <si>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</si>
  <si>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</si>
  <si>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</si>
  <si>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</si>
  <si>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</si>
  <si>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</si>
  <si>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</si>
  <si>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</si>
  <si>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</si>
  <si>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</si>
  <si>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</si>
  <si>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</si>
  <si>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</si>
  <si>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</si>
  <si>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</si>
  <si>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</si>
  <si>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</si>
  <si>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</si>
  <si>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</si>
  <si>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</si>
  <si>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</si>
  <si>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</si>
  <si>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</si>
  <si>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</si>
  <si>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</si>
  <si>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</si>
  <si>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</si>
  <si>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</si>
  <si>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</si>
  <si>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</si>
  <si>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</si>
  <si>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</si>
  <si>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</si>
  <si>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</si>
  <si>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</si>
  <si>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</si>
  <si>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</si>
  <si>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</si>
  <si>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</si>
  <si>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</si>
  <si>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</si>
  <si>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</si>
  <si>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</si>
  <si>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</si>
  <si>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</si>
  <si>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</si>
  <si>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</si>
  <si>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</si>
  <si>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</si>
  <si>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</si>
  <si>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</si>
  <si>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</si>
  <si>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</si>
  <si>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</si>
  <si>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</si>
  <si>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</si>
  <si>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</si>
  <si>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</si>
  <si>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</si>
  <si>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</si>
  <si>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</si>
  <si>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</si>
  <si>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</si>
  <si>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</si>
  <si>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</si>
  <si>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</si>
  <si>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</si>
  <si>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</si>
  <si>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</si>
  <si>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</si>
  <si>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</si>
  <si>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</si>
  <si>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</si>
  <si>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</si>
  <si>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</si>
  <si>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</si>
  <si>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</si>
  <si>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</si>
  <si>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</si>
  <si>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</si>
  <si>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</si>
  <si>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</si>
  <si>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</si>
  <si>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</si>
  <si>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</si>
  <si>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</si>
  <si>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</si>
  <si>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</si>
  <si>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</si>
  <si>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</si>
  <si>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</si>
  <si>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</si>
  <si>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</si>
  <si>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</si>
  <si>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</si>
  <si>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</si>
  <si>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</si>
  <si>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</si>
  <si>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</si>
  <si>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</si>
  <si>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</si>
  <si>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</si>
  <si>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</si>
  <si>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</si>
  <si>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</si>
  <si>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</si>
  <si>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</si>
  <si>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</si>
  <si>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</si>
  <si>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</si>
  <si>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</si>
  <si>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</si>
  <si>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</si>
  <si>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</si>
  <si>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</si>
  <si>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</si>
  <si>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</si>
  <si>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</si>
  <si>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</si>
  <si>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</si>
  <si>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</si>
  <si>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</si>
  <si>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</si>
  <si>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</si>
  <si>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</si>
  <si>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</si>
  <si>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</si>
  <si>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</si>
  <si>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</si>
  <si>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</si>
  <si>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</si>
  <si>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</si>
  <si>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</si>
  <si>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</si>
  <si>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</si>
  <si>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</si>
  <si>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</si>
  <si>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</si>
  <si>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</si>
  <si>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</si>
  <si>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</si>
  <si>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</si>
  <si>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</si>
  <si>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</si>
  <si>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</si>
  <si>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</si>
  <si>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</si>
  <si>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</si>
  <si>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</si>
  <si>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</si>
  <si>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</si>
  <si>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</si>
  <si>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</si>
  <si>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</si>
  <si>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</si>
  <si>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</si>
  <si>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</si>
  <si>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</si>
  <si>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</si>
  <si>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</si>
  <si>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</si>
  <si>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</si>
  <si>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</si>
  <si>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</si>
  <si>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</si>
  <si>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</si>
  <si>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</si>
  <si>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</si>
  <si>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</si>
  <si>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</si>
  <si>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</si>
  <si>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</si>
  <si>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</si>
  <si>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</si>
  <si>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</si>
  <si>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</si>
  <si>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</si>
  <si>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</si>
  <si>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</si>
  <si>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</si>
  <si>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</si>
  <si>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</si>
  <si>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</si>
  <si>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</si>
  <si>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</si>
  <si>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</si>
  <si>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</si>
  <si>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</si>
  <si>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</si>
  <si>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</si>
  <si>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</si>
  <si>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</si>
  <si>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</si>
  <si>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</si>
  <si>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</si>
  <si>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</si>
  <si>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</si>
  <si>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</si>
  <si>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</si>
  <si>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</si>
  <si>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</si>
  <si>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</si>
  <si>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</si>
  <si>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</si>
  <si>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</si>
  <si>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</si>
  <si>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</si>
  <si>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</si>
  <si>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</si>
  <si>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</si>
  <si>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</si>
  <si>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</si>
  <si>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</si>
  <si>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</si>
  <si>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</si>
  <si>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</si>
  <si>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</si>
  <si>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</si>
  <si>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</si>
  <si>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</si>
  <si>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</si>
  <si>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</si>
  <si>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</si>
  <si>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</si>
  <si>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</si>
  <si>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</si>
  <si>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</si>
  <si>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</si>
  <si>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</si>
  <si>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</si>
  <si>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</si>
  <si>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</si>
  <si>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</si>
  <si>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</si>
  <si>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</si>
  <si>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</si>
  <si>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</si>
  <si>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</si>
  <si>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</si>
  <si>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</si>
  <si>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</si>
  <si>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</si>
  <si>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</si>
  <si>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</si>
  <si>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</si>
  <si>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</si>
  <si>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</si>
  <si>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</si>
  <si>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</si>
  <si>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</si>
  <si>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</si>
  <si>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</si>
  <si>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</si>
  <si>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</si>
  <si>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</si>
  <si>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</si>
  <si>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</si>
  <si>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</si>
  <si>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</si>
  <si>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</si>
  <si>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</si>
  <si>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</si>
  <si>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</si>
  <si>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</si>
  <si>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</si>
  <si>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</si>
  <si>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</si>
  <si>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</si>
  <si>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</si>
  <si>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</si>
  <si>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</si>
  <si>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</si>
  <si>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</si>
  <si>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</si>
  <si>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</si>
  <si>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</si>
  <si>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</si>
  <si>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</si>
  <si>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</si>
  <si>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</si>
  <si>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</si>
  <si>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</si>
  <si>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</si>
  <si>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</si>
  <si>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</si>
  <si>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</si>
  <si>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</si>
  <si>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</si>
  <si>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</si>
  <si>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</si>
  <si>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</si>
  <si>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</si>
  <si>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</si>
  <si>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</si>
  <si>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</si>
  <si>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</si>
  <si>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</si>
  <si>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</si>
  <si>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</si>
  <si>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</si>
  <si>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</si>
  <si>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</si>
  <si>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</si>
  <si>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</si>
  <si>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</si>
  <si>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</si>
  <si>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</si>
  <si>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</si>
  <si>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</si>
  <si>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</si>
  <si>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</si>
  <si>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</si>
  <si>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</si>
  <si>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</si>
  <si>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</si>
  <si>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</si>
  <si>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</si>
  <si>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</si>
  <si>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</si>
  <si>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</si>
  <si>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</si>
  <si>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</si>
  <si>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</si>
  <si>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</si>
  <si>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</si>
  <si>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</si>
  <si>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</si>
  <si>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</si>
  <si>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</si>
  <si>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</si>
  <si>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</si>
  <si>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</si>
  <si>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</si>
  <si>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</si>
  <si>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</si>
  <si>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</si>
  <si>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</si>
  <si>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</si>
  <si>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</si>
  <si>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</si>
  <si>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</si>
  <si>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</si>
  <si>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</si>
  <si>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</si>
  <si>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</si>
  <si>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</si>
  <si>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</si>
  <si>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</si>
  <si>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</si>
  <si>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</si>
  <si>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</si>
  <si>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</si>
  <si>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</si>
  <si>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</si>
  <si>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</si>
  <si>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</si>
  <si>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</si>
  <si>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</si>
  <si>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</si>
  <si>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</si>
  <si>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</si>
  <si>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</si>
  <si>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</si>
  <si>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</si>
  <si>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</si>
  <si>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</si>
  <si>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</si>
  <si>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</si>
  <si>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</si>
  <si>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</si>
  <si>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</si>
  <si>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</si>
  <si>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</si>
  <si>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</si>
  <si>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</si>
  <si>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</si>
  <si>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</si>
  <si>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</si>
  <si>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</si>
  <si>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</si>
  <si>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</si>
  <si>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</si>
  <si>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</si>
  <si>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</si>
  <si>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</si>
  <si>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</si>
  <si>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</si>
  <si>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</si>
  <si>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</si>
  <si>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</si>
  <si>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</si>
  <si>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</si>
  <si>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</si>
  <si>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</si>
  <si>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</si>
  <si>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</si>
  <si>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</si>
  <si>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</si>
  <si>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</si>
  <si>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</si>
  <si>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</si>
  <si>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</si>
  <si>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</si>
  <si>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</si>
  <si>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</si>
  <si>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</si>
  <si>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</si>
  <si>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</si>
  <si>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</si>
  <si>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</si>
  <si>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</si>
  <si>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</si>
  <si>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</si>
  <si>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</si>
  <si>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</si>
  <si>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</si>
  <si>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</si>
  <si>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</si>
  <si>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</si>
  <si>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</si>
  <si>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</si>
  <si>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</si>
  <si>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</si>
  <si>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</si>
  <si>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</si>
  <si>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</si>
  <si>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</si>
  <si>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</si>
  <si>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</si>
  <si>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</si>
  <si>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</si>
  <si>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</si>
  <si>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</si>
  <si>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</si>
  <si>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</si>
  <si>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</si>
  <si>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</si>
  <si>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</si>
  <si>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</si>
  <si>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</si>
  <si>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</si>
  <si>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</si>
  <si>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</si>
  <si>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</si>
  <si>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</si>
  <si>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</si>
  <si>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</si>
  <si>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</si>
  <si>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</si>
  <si>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</si>
  <si>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</si>
  <si>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</si>
  <si>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</si>
  <si>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</si>
  <si>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</si>
  <si>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</si>
  <si>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</si>
  <si>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</si>
  <si>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</si>
  <si>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</si>
  <si>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</si>
  <si>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</si>
  <si>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</si>
  <si>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</si>
  <si>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</si>
  <si>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</si>
  <si>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</si>
  <si>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</si>
  <si>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</si>
  <si>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</si>
  <si>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</si>
  <si>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</si>
  <si>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</si>
  <si>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</si>
  <si>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</si>
  <si>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</si>
  <si>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</si>
  <si>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</si>
  <si>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</si>
  <si>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</si>
  <si>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</si>
  <si>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</si>
  <si>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</si>
  <si>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</si>
  <si>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</si>
  <si>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</si>
  <si>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</si>
  <si>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</si>
  <si>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</si>
  <si>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</si>
  <si>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</si>
  <si>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</si>
  <si>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</si>
  <si>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</si>
  <si>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</si>
  <si>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</si>
  <si>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</si>
  <si>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</si>
  <si>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</si>
  <si>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</si>
  <si>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</si>
  <si>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</si>
  <si>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</si>
  <si>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</si>
  <si>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</si>
  <si>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</si>
  <si>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</si>
  <si>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</si>
  <si>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</si>
  <si>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</si>
  <si>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</si>
  <si>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</si>
  <si>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</si>
  <si>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</si>
  <si>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</si>
  <si>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</si>
  <si>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</si>
  <si>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</si>
  <si>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</si>
  <si>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</si>
  <si>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</si>
  <si>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</si>
  <si>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</si>
  <si>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</si>
  <si>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</si>
  <si>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</si>
  <si>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</si>
  <si>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</si>
  <si>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</si>
  <si>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</si>
  <si>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</si>
  <si>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</si>
  <si>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</si>
  <si>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</si>
  <si>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</si>
  <si>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</si>
  <si>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</si>
  <si>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</si>
  <si>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</si>
  <si>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</si>
  <si>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</si>
  <si>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</si>
  <si>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</si>
  <si>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</si>
  <si>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</si>
  <si>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</si>
  <si>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</si>
  <si>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</si>
  <si>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</si>
  <si>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</si>
  <si>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</si>
  <si>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</si>
  <si>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</si>
  <si>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</si>
  <si>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</si>
  <si>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</si>
  <si>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</si>
  <si>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</si>
  <si>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</si>
  <si>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</si>
  <si>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</si>
  <si>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</si>
  <si>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</si>
  <si>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</si>
  <si>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</si>
  <si>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</si>
  <si>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</si>
  <si>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</si>
  <si>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</si>
  <si>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</si>
  <si>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</si>
  <si>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</si>
  <si>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</si>
  <si>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</si>
  <si>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</si>
  <si>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</si>
  <si>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</si>
  <si>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</si>
  <si>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</si>
  <si>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</si>
  <si>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</si>
  <si>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</si>
  <si>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</si>
  <si>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</si>
  <si>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</si>
  <si>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</si>
  <si>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</si>
  <si>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</si>
  <si>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</si>
  <si>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</si>
  <si>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</si>
  <si>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</si>
  <si>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</si>
  <si>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</si>
  <si>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</si>
  <si>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</si>
  <si>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</si>
  <si>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</si>
  <si>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</si>
  <si>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</si>
  <si>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</si>
  <si>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</si>
  <si>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</si>
  <si>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</si>
  <si>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</si>
  <si>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</si>
  <si>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</si>
  <si>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</si>
  <si>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</si>
  <si>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</si>
  <si>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</si>
  <si>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</si>
  <si>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</si>
  <si>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</si>
  <si>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</si>
  <si>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</si>
  <si>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</si>
  <si>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</si>
  <si>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</si>
  <si>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</si>
  <si>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</si>
  <si>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</si>
  <si>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</si>
  <si>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</si>
  <si>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</si>
  <si>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</si>
  <si>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</si>
  <si>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</si>
  <si>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</si>
  <si>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</si>
  <si>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</si>
  <si>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</si>
  <si>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</si>
  <si>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</si>
  <si>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</si>
  <si>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</si>
  <si>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</si>
  <si>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</si>
  <si>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</si>
  <si>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</si>
  <si>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</si>
  <si>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</si>
  <si>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</si>
  <si>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</si>
  <si>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</si>
  <si>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</si>
  <si>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</si>
  <si>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</si>
  <si>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</si>
  <si>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</si>
  <si>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</si>
  <si>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</si>
  <si>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</si>
  <si>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</si>
  <si>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</si>
  <si>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</si>
  <si>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</si>
  <si>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</si>
  <si>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</si>
  <si>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</si>
  <si>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</si>
  <si>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</si>
  <si>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</si>
  <si>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</si>
  <si>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</si>
  <si>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</si>
  <si>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</si>
  <si>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</si>
  <si>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</si>
  <si>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</si>
  <si>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</si>
  <si>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</si>
  <si>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</si>
  <si>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</si>
  <si>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</si>
  <si>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</si>
  <si>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</si>
  <si>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</si>
  <si>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</si>
  <si>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</si>
  <si>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</si>
  <si>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</si>
  <si>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</si>
  <si>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</si>
  <si>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</si>
  <si>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</si>
  <si>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</si>
  <si>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</si>
  <si>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</si>
  <si>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</si>
  <si>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</si>
  <si>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</si>
  <si>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</si>
  <si>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</si>
  <si>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</si>
  <si>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</si>
  <si>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</si>
  <si>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</si>
  <si>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</si>
  <si>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</si>
  <si>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</si>
  <si>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</si>
  <si>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</si>
  <si>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</si>
  <si>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</si>
  <si>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</si>
  <si>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</si>
  <si>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</si>
  <si>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</si>
  <si>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</si>
  <si>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</si>
  <si>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</si>
  <si>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</si>
  <si>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</si>
  <si>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</si>
  <si>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</si>
  <si>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</si>
  <si>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</si>
  <si>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</si>
  <si>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</si>
  <si>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</si>
  <si>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</si>
  <si>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</si>
  <si>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</si>
  <si>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</si>
  <si>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</si>
  <si>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</si>
  <si>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</si>
  <si>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</si>
  <si>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</si>
  <si>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</si>
  <si>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</si>
  <si>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</si>
  <si>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</si>
  <si>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</si>
  <si>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</si>
  <si>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</si>
  <si>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</si>
  <si>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</si>
  <si>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</si>
  <si>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</si>
  <si>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</si>
  <si>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</si>
  <si>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</si>
  <si>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</si>
  <si>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</si>
  <si>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</si>
  <si>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</si>
  <si>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</si>
  <si>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</si>
  <si>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</si>
  <si>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</si>
  <si>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</si>
  <si>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</si>
  <si>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</si>
  <si>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</si>
  <si>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</si>
  <si>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</si>
  <si>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</si>
  <si>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</si>
  <si>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</si>
  <si>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</si>
  <si>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</si>
  <si>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</si>
  <si>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</si>
  <si>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</si>
  <si>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</si>
  <si>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</si>
  <si>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</si>
  <si>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</si>
  <si>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</si>
  <si>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</si>
  <si>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</si>
  <si>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</si>
  <si>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</si>
  <si>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</si>
  <si>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</si>
  <si>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</si>
  <si>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</si>
  <si>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</si>
  <si>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</si>
  <si>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</si>
  <si>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</si>
  <si>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</si>
  <si>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</si>
  <si>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</si>
  <si>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</si>
  <si>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</si>
  <si>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</si>
  <si>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</si>
  <si>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</si>
  <si>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</si>
  <si>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</si>
  <si>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</si>
  <si>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</si>
  <si>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</si>
  <si>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</si>
  <si>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</si>
  <si>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</si>
  <si>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</si>
  <si>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</si>
  <si>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</si>
  <si>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</si>
  <si>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</si>
  <si>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</si>
  <si>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</si>
  <si>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</si>
  <si>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</si>
  <si>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</si>
  <si>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</si>
  <si>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</si>
  <si>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</si>
  <si>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</si>
  <si>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</si>
  <si>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</si>
  <si>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</si>
  <si>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</si>
  <si>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</si>
  <si>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</si>
  <si>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</si>
  <si>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</si>
  <si>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</si>
  <si>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</si>
  <si>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</si>
  <si>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</si>
  <si>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</si>
  <si>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</si>
  <si>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</si>
  <si>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</si>
  <si>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</si>
  <si>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</si>
  <si>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</si>
  <si>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</si>
  <si>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</si>
  <si>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</si>
  <si>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</si>
  <si>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</si>
  <si>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</si>
  <si>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</si>
  <si>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</si>
  <si>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</si>
  <si>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</si>
  <si>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</si>
  <si>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</si>
  <si>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</si>
  <si>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</si>
  <si>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</si>
  <si>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</si>
  <si>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</si>
  <si>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</si>
  <si>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</si>
  <si>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</si>
  <si>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</si>
  <si>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</si>
  <si>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</si>
  <si>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</si>
  <si>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</si>
  <si>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</si>
  <si>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</si>
  <si>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</si>
  <si>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</si>
  <si>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</si>
  <si>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</si>
  <si>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</si>
  <si>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</si>
  <si>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</si>
  <si>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</si>
  <si>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</si>
  <si>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</si>
  <si>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</si>
  <si>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</si>
  <si>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</si>
  <si>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</si>
  <si>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</si>
  <si>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</si>
  <si>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</si>
  <si>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</si>
  <si>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</si>
  <si>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</si>
  <si>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</si>
  <si>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</si>
  <si>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</si>
  <si>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</si>
  <si>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</si>
  <si>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</si>
  <si>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</si>
  <si>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</si>
  <si>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</si>
  <si>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</si>
  <si>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</si>
  <si>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</si>
  <si>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</si>
  <si>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</si>
  <si>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</si>
  <si>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</si>
  <si>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</si>
  <si>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</si>
  <si>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</si>
  <si>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</si>
  <si>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</si>
  <si>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</si>
  <si>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</si>
  <si>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</si>
  <si>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</si>
  <si>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</si>
  <si>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</si>
  <si>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</si>
  <si>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</si>
  <si>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</si>
  <si>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</si>
  <si>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</si>
  <si>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</si>
  <si>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</si>
  <si>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</si>
  <si>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</si>
  <si>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</si>
  <si>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</si>
  <si>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</si>
  <si>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</si>
  <si>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</si>
  <si>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</si>
  <si>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</si>
  <si>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</si>
  <si>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</si>
  <si>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</si>
  <si>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</si>
  <si>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</si>
  <si>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</si>
  <si>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</si>
  <si>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</si>
  <si>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</si>
  <si>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</si>
  <si>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</si>
  <si>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</si>
  <si>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</si>
  <si>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</si>
  <si>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</si>
  <si>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</si>
  <si>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</si>
  <si>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</si>
  <si>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</si>
  <si>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</si>
  <si>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</si>
  <si>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</si>
  <si>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</si>
  <si>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</si>
  <si>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</si>
  <si>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</si>
  <si>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</si>
  <si>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</si>
  <si>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</si>
  <si>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</si>
  <si>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</si>
  <si>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</si>
  <si>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</si>
  <si>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</si>
  <si>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</si>
  <si>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</si>
  <si>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</si>
  <si>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</si>
  <si>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</si>
  <si>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</si>
  <si>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</si>
  <si>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</si>
  <si>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</si>
  <si>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</si>
  <si>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</si>
  <si>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</si>
  <si>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</si>
  <si>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</si>
  <si>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</si>
  <si>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</si>
  <si>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</si>
  <si>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</si>
  <si>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</si>
  <si>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</si>
  <si>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</si>
  <si>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</si>
  <si>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</si>
  <si>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</si>
  <si>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</si>
  <si>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</si>
  <si>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</si>
  <si>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</si>
  <si>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</si>
  <si>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</si>
  <si>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</si>
  <si>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</si>
  <si>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</si>
  <si>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</si>
  <si>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</si>
  <si>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</si>
  <si>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</si>
  <si>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</si>
  <si>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</si>
  <si>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</si>
  <si>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</si>
  <si>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</si>
  <si>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</si>
  <si>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</si>
  <si>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</si>
  <si>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</si>
  <si>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</si>
  <si>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</si>
  <si>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</si>
  <si>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</si>
  <si>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</si>
  <si>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</si>
  <si>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</si>
  <si>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</si>
  <si>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</si>
  <si>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</si>
  <si>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</si>
  <si>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</si>
  <si>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</si>
  <si>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</si>
  <si>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</si>
  <si>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</si>
  <si>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</si>
  <si>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</si>
  <si>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</si>
  <si>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</si>
  <si>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</si>
  <si>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</si>
  <si>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</si>
  <si>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</si>
  <si>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</si>
  <si>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</si>
  <si>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</si>
  <si>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</si>
  <si>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</si>
  <si>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</si>
  <si>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</si>
  <si>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</si>
  <si>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</si>
  <si>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</si>
  <si>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</si>
  <si>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</si>
  <si>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</si>
  <si>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</si>
  <si>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</si>
  <si>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</si>
  <si>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</si>
  <si>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</si>
  <si>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</si>
  <si>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</si>
  <si>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</si>
  <si>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</si>
  <si>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</si>
  <si>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</si>
  <si>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</si>
  <si>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</si>
  <si>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</si>
  <si>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</si>
  <si>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</si>
  <si>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</si>
  <si>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</si>
  <si>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</si>
  <si>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</si>
  <si>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</si>
  <si>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</si>
  <si>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</si>
  <si>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</si>
  <si>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</si>
  <si>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</si>
  <si>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</si>
  <si>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</si>
  <si>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</si>
  <si>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</si>
  <si>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</si>
  <si>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</si>
  <si>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</si>
  <si>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</si>
  <si>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</si>
  <si>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</si>
  <si>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</si>
  <si>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</si>
  <si>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</si>
  <si>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</si>
  <si>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</si>
  <si>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</si>
  <si>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</si>
  <si>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</si>
  <si>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</si>
  <si>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</si>
  <si>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</si>
  <si>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</si>
  <si>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</si>
  <si>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</si>
  <si>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</si>
  <si>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</si>
  <si>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</si>
  <si>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</si>
  <si>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</si>
  <si>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</si>
  <si>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</si>
  <si>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</si>
  <si>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</si>
  <si>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</si>
  <si>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</si>
  <si>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</si>
  <si>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</si>
  <si>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</si>
  <si>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</si>
  <si>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</si>
  <si>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</si>
  <si>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</si>
  <si>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</si>
  <si>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</si>
  <si>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</si>
  <si>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</si>
  <si>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</si>
  <si>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</si>
  <si>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</si>
  <si>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</si>
  <si>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</si>
  <si>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</si>
  <si>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</si>
  <si>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</si>
  <si>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</si>
  <si>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</si>
  <si>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</si>
  <si>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</si>
  <si>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</si>
  <si>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</si>
  <si>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</si>
  <si>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</si>
  <si>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</si>
  <si>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</si>
  <si>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</si>
  <si>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</si>
  <si>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</si>
  <si>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</si>
  <si>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</si>
  <si>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</si>
  <si>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</si>
  <si>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</si>
  <si>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</si>
  <si>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</si>
  <si>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</si>
  <si>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</si>
  <si>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</si>
  <si>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</si>
  <si>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</si>
  <si>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</si>
  <si>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</si>
  <si>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</si>
  <si>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</si>
  <si>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</si>
  <si>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</si>
  <si>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</si>
  <si>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</si>
  <si>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</si>
  <si>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</si>
  <si>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</si>
  <si>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</si>
  <si>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</si>
  <si>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</si>
  <si>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</si>
  <si>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</si>
  <si>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</si>
  <si>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</si>
  <si>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</si>
  <si>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</si>
  <si>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</si>
  <si>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</si>
  <si>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</si>
  <si>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</si>
  <si>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</si>
  <si>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</si>
  <si>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</si>
  <si>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</si>
  <si>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</si>
  <si>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</si>
  <si>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</si>
  <si>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</si>
  <si>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</si>
  <si>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</si>
  <si>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</si>
  <si>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</si>
  <si>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</si>
  <si>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</si>
  <si>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</si>
  <si>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</si>
  <si>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</si>
  <si>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</si>
  <si>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</si>
  <si>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</si>
  <si>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</si>
  <si>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</si>
  <si>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</si>
  <si>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</si>
  <si>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</si>
  <si>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</si>
  <si>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</si>
  <si>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</si>
  <si>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</si>
  <si>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</si>
  <si>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</si>
  <si>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</si>
  <si>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</si>
  <si>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</si>
  <si>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</si>
  <si>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</si>
  <si>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</si>
  <si>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</si>
  <si>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</si>
  <si>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</si>
  <si>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</si>
  <si>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</si>
  <si>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</si>
  <si>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</si>
  <si>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</si>
  <si>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</si>
  <si>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</si>
  <si>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</si>
  <si>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</si>
  <si>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</si>
  <si>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</si>
  <si>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</si>
  <si>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</si>
  <si>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</si>
  <si>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</si>
  <si>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</si>
  <si>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</si>
  <si>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</si>
  <si>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</si>
  <si>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</si>
  <si>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</si>
  <si>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</si>
  <si>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</si>
  <si>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</si>
  <si>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</si>
  <si>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</si>
  <si>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</si>
  <si>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</si>
  <si>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</si>
  <si>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</si>
  <si>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</si>
  <si>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</si>
  <si>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</si>
  <si>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</si>
  <si>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</si>
  <si>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</si>
  <si>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</si>
  <si>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</si>
  <si>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</si>
  <si>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</si>
  <si>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</si>
  <si>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</si>
  <si>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</si>
  <si>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</si>
  <si>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</si>
  <si>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</si>
  <si>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</si>
  <si>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</si>
  <si>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</si>
  <si>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</si>
  <si>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</si>
  <si>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</si>
  <si>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</si>
  <si>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</si>
  <si>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</si>
  <si>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</si>
  <si>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</si>
  <si>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</si>
  <si>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</si>
  <si>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</si>
  <si>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</si>
  <si>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</si>
  <si>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</si>
  <si>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</si>
  <si>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</si>
  <si>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</si>
  <si>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</si>
  <si>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</si>
  <si>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</si>
  <si>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</si>
  <si>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</si>
  <si>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</si>
  <si>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</si>
  <si>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</si>
  <si>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</si>
  <si>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</si>
  <si>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</si>
  <si>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</si>
  <si>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</si>
  <si>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</si>
  <si>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</si>
  <si>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</si>
  <si>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</si>
  <si>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</si>
  <si>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</si>
  <si>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</si>
  <si>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</si>
  <si>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</si>
  <si>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</si>
  <si>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</si>
  <si>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</si>
  <si>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</si>
  <si>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</si>
  <si>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</si>
  <si>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</si>
  <si>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</si>
  <si>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</si>
  <si>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</si>
  <si>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</si>
  <si>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</si>
  <si>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</si>
  <si>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</si>
  <si>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</si>
  <si>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</si>
  <si>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</si>
  <si>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</si>
  <si>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</si>
  <si>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</si>
  <si>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</si>
  <si>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</si>
  <si>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</si>
  <si>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</si>
  <si>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</si>
  <si>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</si>
  <si>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</si>
  <si>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</si>
  <si>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</si>
  <si>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</si>
  <si>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</si>
  <si>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</si>
  <si>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</si>
  <si>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</si>
  <si>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</si>
  <si>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</si>
  <si>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</si>
  <si>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</si>
  <si>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</si>
  <si>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</si>
  <si>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</si>
  <si>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</si>
  <si>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</si>
  <si>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</si>
  <si>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</si>
  <si>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</si>
  <si>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</si>
  <si>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</si>
  <si>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</si>
  <si>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</si>
  <si>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</si>
  <si>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</si>
  <si>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</si>
  <si>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</si>
  <si>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</si>
  <si>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</si>
  <si>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</si>
  <si>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</si>
  <si>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</si>
  <si>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</si>
  <si>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</si>
  <si>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</si>
  <si>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</si>
  <si>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</si>
  <si>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</si>
  <si>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</si>
  <si>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</si>
  <si>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</si>
  <si>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</si>
  <si>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</si>
  <si>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</si>
  <si>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</si>
  <si>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</si>
  <si>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</si>
  <si>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</si>
  <si>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</si>
  <si>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</si>
  <si>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</si>
  <si>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</si>
  <si>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</si>
  <si>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</si>
  <si>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</si>
  <si>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</si>
  <si>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</si>
  <si>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</si>
  <si>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</si>
  <si>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</si>
  <si>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</si>
  <si>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</si>
  <si>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</si>
  <si>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</si>
  <si>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</si>
  <si>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</si>
  <si>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</si>
  <si>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</si>
  <si>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</si>
  <si>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</si>
  <si>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</si>
  <si>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</si>
  <si>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</si>
  <si>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</si>
  <si>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</si>
  <si>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</si>
  <si>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</si>
  <si>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</si>
  <si>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</si>
  <si>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</si>
  <si>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</si>
  <si>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</si>
  <si>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</si>
  <si>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</si>
  <si>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</si>
  <si>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</si>
  <si>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</si>
  <si>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</si>
  <si>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</si>
  <si>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</si>
  <si>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</si>
  <si>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</si>
  <si>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</si>
  <si>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</si>
  <si>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</si>
  <si>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</si>
  <si>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</si>
  <si>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</si>
  <si>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</si>
  <si>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</si>
  <si>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</si>
  <si>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</si>
  <si>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</si>
  <si>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</si>
  <si>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</si>
  <si>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</si>
  <si>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</si>
  <si>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</si>
  <si>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</si>
  <si>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</si>
  <si>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</si>
  <si>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</si>
  <si>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</si>
  <si>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</si>
  <si>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</si>
  <si>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</si>
  <si>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</si>
  <si>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</si>
  <si>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</si>
  <si>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</si>
  <si>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</si>
  <si>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</si>
  <si>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</si>
  <si>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</si>
  <si>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</si>
  <si>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</si>
  <si>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</si>
  <si>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</si>
  <si>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</si>
  <si>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</si>
  <si>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</si>
  <si>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</si>
  <si>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</si>
  <si>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</si>
  <si>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</si>
  <si>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</si>
  <si>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</si>
  <si>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</si>
  <si>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</si>
  <si>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</si>
  <si>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</si>
  <si>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</si>
  <si>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</si>
  <si>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</si>
  <si>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</si>
  <si>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</si>
  <si>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</si>
  <si>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</si>
  <si>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</si>
  <si>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</si>
  <si>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</si>
  <si>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</si>
  <si>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</si>
  <si>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</si>
  <si>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</si>
  <si>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</si>
  <si>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</si>
  <si>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</si>
  <si>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</si>
  <si>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</si>
  <si>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</si>
  <si>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</si>
  <si>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</si>
  <si>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</si>
  <si>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</si>
  <si>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</si>
  <si>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</si>
  <si>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</si>
  <si>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</si>
  <si>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</si>
  <si>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</si>
  <si>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</si>
  <si>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</si>
  <si>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</si>
  <si>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</si>
  <si>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</si>
  <si>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</si>
  <si>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</si>
  <si>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</si>
  <si>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</si>
  <si>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</si>
  <si>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</si>
  <si>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</si>
  <si>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</si>
  <si>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</si>
  <si>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</si>
  <si>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</si>
  <si>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</si>
  <si>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</si>
  <si>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</si>
  <si>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</si>
  <si>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</si>
  <si>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</si>
  <si>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</si>
  <si>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</si>
  <si>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</si>
  <si>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</si>
  <si>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</si>
  <si>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</si>
  <si>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</si>
  <si>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</si>
  <si>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</si>
  <si>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</si>
  <si>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</si>
  <si>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</si>
  <si>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</si>
  <si>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</si>
  <si>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</si>
  <si>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</si>
  <si>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</si>
  <si>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</si>
  <si>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</si>
  <si>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</si>
  <si>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</si>
  <si>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</si>
  <si>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</si>
  <si>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Requirement</t>
  </si>
  <si>
    <t>Dashboard Element</t>
  </si>
  <si>
    <t>Column Used</t>
  </si>
  <si>
    <t>Total Revenue</t>
  </si>
  <si>
    <t>Total Orders</t>
  </si>
  <si>
    <t>Orders ID</t>
  </si>
  <si>
    <t>Quantity Sold</t>
  </si>
  <si>
    <t xml:space="preserve">Total Quantity Sold </t>
  </si>
  <si>
    <t>Average Order Value</t>
  </si>
  <si>
    <t>Revenue and Order ID</t>
  </si>
  <si>
    <t>Monthly Revenue Trend</t>
  </si>
  <si>
    <t>Revenue by Month</t>
  </si>
  <si>
    <t>Data and Revenue</t>
  </si>
  <si>
    <t>Regional Performance</t>
  </si>
  <si>
    <t>Revenue by Region</t>
  </si>
  <si>
    <t>Region and Revenue</t>
  </si>
  <si>
    <t>Product Category and Revenue</t>
  </si>
  <si>
    <t>Product Category Performance</t>
  </si>
  <si>
    <t>Revenue by Product Category</t>
  </si>
  <si>
    <t xml:space="preserve">Sales Channel </t>
  </si>
  <si>
    <t>Revenue by sales Channel</t>
  </si>
  <si>
    <t>Sales Channel and Revenue</t>
  </si>
  <si>
    <t>Top 5 Products</t>
  </si>
  <si>
    <t>Product and Revenue</t>
  </si>
  <si>
    <t>Top Product by Revenue</t>
  </si>
  <si>
    <t>Supporting Pivot 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</si>
  <si>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</si>
  <si>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</si>
  <si>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</si>
  <si>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</si>
  <si>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</si>
  <si>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</si>
  <si>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</si>
  <si>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</si>
  <si>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</si>
  <si>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</si>
  <si>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</si>
  <si>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</si>
  <si>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</si>
  <si>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</si>
  <si>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</si>
  <si>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</si>
  <si>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</si>
  <si>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</si>
  <si>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t>
  </si>
  <si>
    <t>SALES &amp; REVENUE PERFORMANCE DASHBOARD</t>
  </si>
  <si>
    <t>Interactive Sales Analytics | Revenue Trends • Regional Performance • Product Insights</t>
  </si>
  <si>
    <t>TOTAL REVENUE</t>
  </si>
  <si>
    <t>TOTAL ORDERS</t>
  </si>
  <si>
    <t>UNITS SOLD</t>
  </si>
  <si>
    <t>AVG. ORDER VALUE</t>
  </si>
  <si>
    <t>Details for Sum of Revenue - Region: North</t>
  </si>
  <si>
    <t xml:space="preserve">                     SALES &amp; REVENUE PERFORMANCE DASHBOARD</t>
  </si>
  <si>
    <t>Latest Date in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</si>
</sst>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gt;=1000000]\ &quot;$&quot;\ #,##0.00,,&quot;M&quot;;[&gt;=1000]\ \ &quot;$&quot;\ #.00,\ &quot;K&quot;;\ ###.00"/>
    <numFmt numFmtId="171" formatCode="&quot;$&quot;0.00,,&quot;M&quot;"/>
    <numFmt numFmtId="173" formatCode="_(* #,##0_);_(* \(#,##0\);_(* &quot;-&quot;??_);_(@_)"/>
  </numFmts>
  <fonts count="13">
    <font>
      <sz val="11"/>
      <color theme="1"/>
      <name val="Aptos Narrow"/>
      <family val="2"/>
      <scheme val="minor"/>
    </font>
    <font>
      <sz val="11"/>
      <color theme="1"/>
      <name val="Aptos Narrow"/>
      <family val="2"/>
      <scheme val="minor"/>
    </font>
    <font>
      <b/>
      <sz val="11"/>
      <color theme="1"/>
      <name val="Aptos Narrow"/>
      <family val="2"/>
      <scheme val="minor"/>
    </font>
    <font>
      <sz val="11"/>
      <name val="Carlito"/>
    </font>
    <font>
      <u/>
      <sz val="11"/>
      <color theme="10"/>
      <name val="Carlito"/>
    </font>
    <font>
      <b/>
      <sz val="14"/>
      <color theme="1"/>
      <name val="Aptos Narrow"/>
      <family val="2"/>
      <scheme val="minor"/>
    </font>
    <font>
      <b/>
      <sz val="20"/>
      <color theme="2"/>
      <name val="Aptos Display"/>
      <family val="2"/>
      <scheme val="major"/>
    </font>
    <font>
      <b/>
      <sz val="10"/>
      <color theme="2"/>
      <name val="Aptos Narrow"/>
      <family val="2"/>
      <scheme val="minor"/>
    </font>
    <font>
      <b/>
      <sz val="18"/>
      <color theme="3"/>
      <name val="Aptos Narrow"/>
      <family val="2"/>
      <scheme val="minor"/>
    </font>
    <font>
      <sz val="11"/>
      <color theme="2"/>
      <name val="Aptos Narrow"/>
      <family val="2"/>
      <scheme val="minor"/>
    </font>
    <font>
      <b/>
      <sz val="20"/>
      <color theme="1"/>
      <name val="Aptos Narrow"/>
      <family val="2"/>
      <scheme val="minor"/>
    </font>
    <font>
      <b/>
      <sz val="18"/>
      <color theme="0"/>
      <name val="Aptos Narrow"/>
      <family val="2"/>
      <scheme val="minor"/>
    </font>
    <font>
      <b/>
      <sz val="12"/>
      <color theme="0"/>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3"/>
        <bgColor indexed="64"/>
      </patternFill>
    </fill>
    <fill>
      <patternFill patternType="solid">
        <fgColor theme="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3" fillId="0" borderId="0"/>
    <xf numFmtId="0" fontId="4" fillId="0" borderId="0" applyNumberFormat="0" applyFill="0" applyBorder="0" applyAlignment="0" applyProtection="0"/>
    <xf numFmtId="43" fontId="1" fillId="0" borderId="0" applyFont="0" applyFill="0" applyBorder="0" applyAlignment="0" applyProtection="0"/>
  </cellStyleXfs>
  <cellXfs count="32">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0" fontId="5" fillId="2" borderId="0" xfId="0" applyFont="1" applyFill="1"/>
    <xf numFmtId="0" fontId="2" fillId="2" borderId="1" xfId="0" applyFont="1" applyFill="1" applyBorder="1" applyAlignment="1">
      <alignment horizontal="center"/>
    </xf>
    <xf numFmtId="0" fontId="0" fillId="0" borderId="2" xfId="0" applyBorder="1"/>
    <xf numFmtId="0" fontId="0" fillId="0" borderId="3" xfId="0" applyBorder="1"/>
    <xf numFmtId="164" fontId="0" fillId="0" borderId="0" xfId="0" applyNumberFormat="1"/>
    <xf numFmtId="0" fontId="0" fillId="3" borderId="0" xfId="0" applyFill="1"/>
    <xf numFmtId="0" fontId="0" fillId="4" borderId="0" xfId="0" applyFill="1"/>
    <xf numFmtId="0" fontId="6" fillId="4" borderId="0" xfId="0" applyFont="1" applyFill="1" applyAlignment="1">
      <alignment horizontal="center"/>
    </xf>
    <xf numFmtId="0" fontId="7" fillId="4" borderId="0" xfId="0" applyFont="1" applyFill="1" applyAlignment="1">
      <alignment horizontal="center"/>
    </xf>
    <xf numFmtId="0" fontId="0" fillId="6" borderId="0" xfId="0" applyFill="1"/>
    <xf numFmtId="0" fontId="7" fillId="6" borderId="0" xfId="0" applyFont="1" applyFill="1" applyAlignment="1">
      <alignment horizontal="center"/>
    </xf>
    <xf numFmtId="171" fontId="8" fillId="0" borderId="0" xfId="0" applyNumberFormat="1" applyFont="1"/>
    <xf numFmtId="0" fontId="7" fillId="5" borderId="0" xfId="0" applyFont="1" applyFill="1" applyAlignment="1">
      <alignment horizontal="center"/>
    </xf>
    <xf numFmtId="0" fontId="5" fillId="2" borderId="0" xfId="0" applyFont="1" applyFill="1" applyAlignment="1">
      <alignment horizontal="center"/>
    </xf>
    <xf numFmtId="164" fontId="10" fillId="2" borderId="0" xfId="0" applyNumberFormat="1" applyFont="1" applyFill="1" applyAlignment="1">
      <alignment horizontal="center"/>
    </xf>
    <xf numFmtId="0" fontId="0" fillId="0" borderId="0" xfId="0" applyNumberFormat="1"/>
    <xf numFmtId="173" fontId="10" fillId="2" borderId="0" xfId="4" applyNumberFormat="1" applyFont="1" applyFill="1" applyAlignment="1">
      <alignment horizontal="center"/>
    </xf>
    <xf numFmtId="173" fontId="10" fillId="2" borderId="0" xfId="4" applyNumberFormat="1" applyFont="1" applyFill="1" applyAlignment="1">
      <alignment vertical="center"/>
    </xf>
    <xf numFmtId="0" fontId="2" fillId="0" borderId="0" xfId="0" applyFont="1"/>
    <xf numFmtId="0" fontId="11" fillId="4" borderId="0" xfId="0" applyFont="1" applyFill="1" applyAlignment="1">
      <alignment horizontal="center"/>
    </xf>
    <xf numFmtId="0" fontId="0" fillId="4" borderId="0" xfId="0" applyFill="1" applyAlignment="1"/>
    <xf numFmtId="0" fontId="9" fillId="4" borderId="0" xfId="0" applyFont="1" applyFill="1" applyAlignment="1"/>
    <xf numFmtId="14" fontId="9" fillId="4" borderId="0" xfId="0" applyNumberFormat="1" applyFont="1" applyFill="1" applyAlignment="1"/>
    <xf numFmtId="0" fontId="11" fillId="4" borderId="0" xfId="0" applyFont="1" applyFill="1" applyAlignment="1">
      <alignment vertical="center"/>
    </xf>
    <xf numFmtId="0" fontId="0" fillId="4" borderId="0" xfId="0" applyFill="1" applyAlignment="1">
      <alignment vertical="center"/>
    </xf>
    <xf numFmtId="0" fontId="12" fillId="4" borderId="0" xfId="0" applyFont="1" applyFill="1" applyAlignment="1">
      <alignment horizontal="center" vertical="top"/>
    </xf>
  </cellXfs>
  <cellStyles count="5">
    <cellStyle name="Comma" xfId="4" builtinId="3"/>
    <cellStyle name="Hyperlink 2" xfId="3" xr:uid="{A4963091-AD3D-4D6D-9DCA-4B3E9BCB7511}"/>
    <cellStyle name="Normal" xfId="0" builtinId="0"/>
    <cellStyle name="Normal 2" xfId="2" xr:uid="{8302D480-4AF3-4875-BA14-2B9849AAB765}"/>
    <cellStyle name="Percent" xfId="1" builtinId="5"/>
  </cellStyles>
  <dxfs count="5">
    <dxf>
      <numFmt numFmtId="19" formatCode="m/d/yyyy"/>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[Sales_Revenue_Analytics_Portfolio.xlsx]Supporting_Pivots!PT5_Revenue_by_Month</c:name>
    <c:fmtId val="3"/>
  </c:pivotSource>
  <c:chart>
    <c:title>
      <c:tx>
        <c:rich>
          <a:bodyPr rot="0" spcFirstLastPara="1" vertOverflow="ellipsis" vert="horz" wrap="square" anchor="ctr" anchorCtr="1"/>
          <a:lstStyle/>
          <a:p>
            <a:pPr>
              <a:defRPr sz="1000" b="1" i="0" u="none" strike="noStrike" kern="1200" spc="0" baseline="0">
                <a:solidFill>
                  <a:schemeClr val="accent1"/>
                </a:solidFill>
                <a:latin typeface="+mn-lt"/>
                <a:ea typeface="+mn-ea"/>
                <a:cs typeface="+mn-cs"/>
              </a:defRPr>
            </a:pPr>
            <a:r>
              <a:rPr lang="en-US" sz="1000" b="1">
                <a:solidFill>
                  <a:schemeClr val="accent1"/>
                </a:solidFill>
              </a:rPr>
              <a:t>Revenue by Month</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0,&quot;M&quot;;[&gt;=1000]\ ##0,\ &quot;K&quot;;\ ##0" sourceLinked="0"/>
          <c:spPr>
            <a:solidFill>
              <a:schemeClr val="bg1">
                <a:lumMod val="95000"/>
                <a:alpha val="80000"/>
              </a:schemeClr>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 #,##0,&quot;M&quot;;[&gt;=1000]\ ##0,\ &quot;K&quot;;\ ##0" sourceLinked="0"/>
          <c:spPr>
            <a:solidFill>
              <a:schemeClr val="bg1">
                <a:lumMod val="95000"/>
                <a:alpha val="80000"/>
              </a:schemeClr>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 #,##0,&quot;M&quot;;[&gt;=1000]\ ##0,\ &quot;K&quot;;\ ##0" sourceLinked="0"/>
          <c:spPr>
            <a:solidFill>
              <a:schemeClr val="bg1">
                <a:lumMod val="95000"/>
                <a:alpha val="80000"/>
              </a:schemeClr>
            </a:solid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Supporting_Pivots!$C$20</c:f>
              <c:strCache>
                <c:ptCount val="1"/>
                <c:pt idx="0">
                  <c:v>Total</c:v>
                </c:pt>
              </c:strCache>
            </c:strRef>
          </c:tx>
          <c:spPr>
            <a:ln w="28575" cap="rnd">
              <a:solidFill>
                <a:schemeClr val="accent1"/>
              </a:solidFill>
              <a:round/>
            </a:ln>
            <a:effectLst/>
          </c:spPr>
          <c:marker>
            <c:symbol val="none"/>
          </c:marker>
          <c:dLbls>
            <c:numFmt formatCode="[&gt;=1000000]\ #,##0,&quot;M&quot;;[&gt;=1000]\ ##0,\ &quot;K&quot;;\ ##0" sourceLinked="0"/>
            <c:spPr>
              <a:solidFill>
                <a:schemeClr val="bg1">
                  <a:lumMod val="95000"/>
                  <a:alpha val="80000"/>
                </a:schemeClr>
              </a:solid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Supporting_Pivots!$C$21:$C$33</c:f>
              <c:numCache>
                <c:formatCode>[&gt;=1000000]\ "$"\ #,##0.00,,"M";[&gt;=1000]\ \ "$"\ #.00,\ "K";\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669F-46B1-A610-D5BA39A1BAFD}"/>
            </c:ext>
          </c:extLst>
        </c:ser>
        <c:dLbls>
          <c:dLblPos val="t"/>
          <c:showLegendKey val="0"/>
          <c:showVal val="1"/>
          <c:showCatName val="0"/>
          <c:showSerName val="0"/>
          <c:showPercent val="0"/>
          <c:showBubbleSize val="0"/>
        </c:dLbls>
        <c:smooth val="0"/>
        <c:axId val="1190099776"/>
        <c:axId val="2039336240"/>
      </c:lineChart>
      <c:catAx>
        <c:axId val="1190099776"/>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39336240"/>
        <c:crosses val="autoZero"/>
        <c:auto val="1"/>
        <c:lblAlgn val="ctr"/>
        <c:lblOffset val="100"/>
        <c:noMultiLvlLbl val="0"/>
      </c:catAx>
      <c:valAx>
        <c:axId val="2039336240"/>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9009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[Sales_Revenue_Analytics_Portfolio.xlsx]Supporting_Pivots!PT6_Revenue_by_Region</c:name>
    <c:fmtId val="5"/>
  </c:pivotSource>
  <c:chart>
    <c:title>
      <c:tx>
        <c:rich>
          <a:bodyPr rot="0" spcFirstLastPara="1" vertOverflow="ellipsis" vert="horz" wrap="square" anchor="ctr" anchorCtr="1"/>
          <a:lstStyle/>
          <a:p>
            <a:pPr>
              <a:defRPr sz="1000" b="1" i="0" u="none" strike="noStrike" kern="1200" spc="0" baseline="0">
                <a:solidFill>
                  <a:schemeClr val="accent1"/>
                </a:solidFill>
                <a:latin typeface="+mn-lt"/>
                <a:ea typeface="+mn-ea"/>
                <a:cs typeface="+mn-cs"/>
              </a:defRPr>
            </a:pPr>
            <a:r>
              <a:rPr lang="en-US" sz="1000" b="1">
                <a:solidFill>
                  <a:schemeClr val="accent1"/>
                </a:solidFill>
              </a:rPr>
              <a:t>Revenue by Region</a:t>
            </a:r>
          </a:p>
        </c:rich>
      </c:tx>
      <c:layout>
        <c:manualLayout>
          <c:xMode val="edge"/>
          <c:yMode val="edge"/>
          <c:x val="0.38815966754155729"/>
          <c:y val="7.40740740740740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85914260717411"/>
          <c:y val="0.37800488480606592"/>
          <c:w val="0.69988604549431321"/>
          <c:h val="0.53811424613589964"/>
        </c:manualLayout>
      </c:layout>
      <c:barChart>
        <c:barDir val="col"/>
        <c:grouping val="clustered"/>
        <c:varyColors val="0"/>
        <c:ser>
          <c:idx val="0"/>
          <c:order val="0"/>
          <c:tx>
            <c:strRef>
              <c:f>Supporting_Pivots!$F$20</c:f>
              <c:strCache>
                <c:ptCount val="1"/>
                <c:pt idx="0">
                  <c:v>Total</c:v>
                </c:pt>
              </c:strCache>
            </c:strRef>
          </c:tx>
          <c:spPr>
            <a:solidFill>
              <a:schemeClr val="accent1"/>
            </a:solidFill>
            <a:ln>
              <a:noFill/>
            </a:ln>
            <a:effectLst/>
          </c:spPr>
          <c:invertIfNegative val="0"/>
          <c:dLbls>
            <c:numFmt formatCode="[&gt;=1000000]\ #,##0,&quot;M&quot;;[&gt;=1000]\ ##0,\ &quot;K&quot;;\ ##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Supporting_Pivots!$E$21:$E$26</c:f>
              <c:strCache>
                <c:ptCount val="5"/>
                <c:pt idx="0">
                  <c:v>Central</c:v>
                </c:pt>
                <c:pt idx="1">
                  <c:v>East</c:v>
                </c:pt>
                <c:pt idx="2">
                  <c:v>North</c:v>
                </c:pt>
                <c:pt idx="3">
                  <c:v>South</c:v>
                </c:pt>
                <c:pt idx="4">
                  <c:v>West</c:v>
                </c:pt>
              </c:strCache>
            </c:strRef>
          </c:cat>
          <c:val>
            <c:numRef>
              <c:f>Supporting_Pivots!$F$21:$F$26</c:f>
              <c:numCache>
                <c:formatCode>[&gt;=1000000]\ "$"\ #,##0.00,,"M";[&gt;=1000]\ \ "$"\ #.00,\ "K";\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7CF1-4292-B8E9-3DC5EBE7D15E}"/>
            </c:ext>
          </c:extLst>
        </c:ser>
        <c:dLbls>
          <c:showLegendKey val="0"/>
          <c:showVal val="1"/>
          <c:showCatName val="0"/>
          <c:showSerName val="0"/>
          <c:showPercent val="0"/>
          <c:showBubbleSize val="0"/>
        </c:dLbls>
        <c:gapWidth val="219"/>
        <c:overlap val="-27"/>
        <c:axId val="1420724336"/>
        <c:axId val="1456063376"/>
      </c:barChart>
      <c:catAx>
        <c:axId val="1420724336"/>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56063376"/>
        <c:crosses val="autoZero"/>
        <c:auto val="1"/>
        <c:lblAlgn val="ctr"/>
        <c:lblOffset val="100"/>
        <c:noMultiLvlLbl val="0"/>
      </c:catAx>
      <c:valAx>
        <c:axId val="145606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Revenue ($) </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2072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[Sales_Revenue_Analytics_Portfolio.xlsx]Supporting_Pivots!PT7_Revenue_by_Category</c:name>
    <c:fmtId val="5"/>
  </c:pivotSource>
  <c:chart>
    <c:title>
      <c:tx>
        <c:rich>
          <a:bodyPr rot="0" spcFirstLastPara="1" vertOverflow="ellipsis" vert="horz" wrap="square" anchor="ctr" anchorCtr="1"/>
          <a:lstStyle/>
          <a:p>
            <a:pPr algn="ctr" rtl="0">
              <a:defRPr sz="1000" b="1" i="0" u="none" strike="noStrike" kern="1200" spc="0" baseline="0">
                <a:solidFill>
                  <a:schemeClr val="accent1"/>
                </a:solidFill>
                <a:latin typeface="+mn-lt"/>
                <a:ea typeface="+mn-ea"/>
                <a:cs typeface="+mn-cs"/>
              </a:defRPr>
            </a:pPr>
            <a:r>
              <a:rPr lang="en-US" sz="1000" b="1">
                <a:solidFill>
                  <a:schemeClr val="accent1"/>
                </a:solidFill>
              </a:rPr>
              <a:t>Revenue by Product Category</a:t>
            </a:r>
          </a:p>
        </c:rich>
      </c:tx>
      <c:layout>
        <c:manualLayout>
          <c:xMode val="edge"/>
          <c:yMode val="edge"/>
          <c:x val="0.21073540748373937"/>
          <c:y val="0"/>
        </c:manualLayout>
      </c:layout>
      <c:overlay val="0"/>
      <c:spPr>
        <a:noFill/>
        <a:ln>
          <a:noFill/>
        </a:ln>
        <a:effectLst/>
      </c:spPr>
      <c:txPr>
        <a:bodyPr rot="0" spcFirstLastPara="1" vertOverflow="ellipsis" vert="horz" wrap="square" anchor="ctr" anchorCtr="1"/>
        <a:lstStyle/>
        <a:p>
          <a:pPr algn="ctr" rtl="0">
            <a:defRPr sz="10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Supporting_Pivots!$I$20</c:f>
              <c:strCache>
                <c:ptCount val="1"/>
                <c:pt idx="0">
                  <c:v>Total</c:v>
                </c:pt>
              </c:strCache>
            </c:strRef>
          </c:tx>
          <c:spPr>
            <a:solidFill>
              <a:schemeClr val="accent1"/>
            </a:solidFill>
            <a:ln>
              <a:noFill/>
            </a:ln>
            <a:effectLst/>
          </c:spPr>
          <c:invertIfNegative val="0"/>
          <c:dLbls>
            <c:numFmt formatCode="[&gt;=1000000]\ #,##0,&quot;M&quot;;[&gt;=1000]\ #,##0,\ &quot;K&quot;;\ #,##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Supporting_Pivots!$H$21:$H$27</c:f>
              <c:strCache>
                <c:ptCount val="6"/>
                <c:pt idx="0">
                  <c:v>Computers</c:v>
                </c:pt>
                <c:pt idx="1">
                  <c:v>Monitors</c:v>
                </c:pt>
                <c:pt idx="2">
                  <c:v>Networking</c:v>
                </c:pt>
                <c:pt idx="3">
                  <c:v>Storage</c:v>
                </c:pt>
                <c:pt idx="4">
                  <c:v>Accessories</c:v>
                </c:pt>
                <c:pt idx="5">
                  <c:v>Office Supplies</c:v>
                </c:pt>
              </c:strCache>
            </c:strRef>
          </c:cat>
          <c:val>
            <c:numRef>
              <c:f>Supporting_Pivots!$I$21:$I$27</c:f>
              <c:numCache>
                <c:formatCode>[&gt;=1000000]\ "$"\ #,##0.00,,"M";[&gt;=1000]\ \ "$"\ #.00,\ "K";\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025C-4E23-B64F-F75DEEF61C31}"/>
            </c:ext>
          </c:extLst>
        </c:ser>
        <c:dLbls>
          <c:showLegendKey val="0"/>
          <c:showVal val="1"/>
          <c:showCatName val="0"/>
          <c:showSerName val="0"/>
          <c:showPercent val="0"/>
          <c:showBubbleSize val="0"/>
        </c:dLbls>
        <c:gapWidth val="219"/>
        <c:overlap val="-27"/>
        <c:axId val="1044880111"/>
        <c:axId val="1456171856"/>
      </c:barChart>
      <c:catAx>
        <c:axId val="1044880111"/>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Product Categories</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56171856"/>
        <c:crosses val="autoZero"/>
        <c:auto val="1"/>
        <c:lblAlgn val="ctr"/>
        <c:lblOffset val="100"/>
        <c:noMultiLvlLbl val="0"/>
      </c:catAx>
      <c:valAx>
        <c:axId val="1456171856"/>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Revenue ($) </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448801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[Sales_Revenue_Analytics_Portfolio.xlsx]Supporting_Pivots!PT8_Revenue_by_Channel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4"/>
          </a:solidFill>
          <a:ln w="19050">
            <a:solidFill>
              <a:schemeClr val="lt1"/>
            </a:solidFill>
          </a:ln>
          <a:effectLst/>
        </c:spPr>
      </c:pivotFmt>
    </c:pivotFmts>
    <c:plotArea>
      <c:layout/>
      <c:doughnutChart>
        <c:varyColors val="1"/>
        <c:ser>
          <c:idx val="0"/>
          <c:order val="0"/>
          <c:tx>
            <c:strRef>
              <c:f>Supporting_Pivots!$L$20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7-411E-B42E-C794F4CDD0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7-411E-B42E-C794F4CDD0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7-411E-B42E-C794F4CDD0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7-411E-B42E-C794F4CDD0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Supporting_Pivots!$K$21:$K$25</c:f>
              <c:strCache>
                <c:ptCount val="4"/>
                <c:pt idx="0">
                  <c:v>Corporate Sales</c:v>
                </c:pt>
                <c:pt idx="1">
                  <c:v>Marketplace</c:v>
                </c:pt>
                <c:pt idx="2">
                  <c:v>Online</c:v>
                </c:pt>
                <c:pt idx="3">
                  <c:v>Retail Store</c:v>
                </c:pt>
              </c:strCache>
            </c:strRef>
          </c:cat>
          <c:val>
            <c:numRef>
              <c:f>Supporting_Pivots!$L$21:$L$25</c:f>
              <c:numCache>
                <c:formatCode>[&gt;=1000000]\ "$"\ #,##0.00,,"M";[&gt;=1000]\ \ "$"\ #.00,\ "K";\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9FC7-411E-B42E-C794F4CDD0D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[Sales_Revenue_Analytics_Portfolio.xlsx]Supporting_Pivots!PT9_Top_5_Products</c:name>
    <c:fmtId val="3"/>
  </c:pivotSource>
  <c:chart>
    <c:title>
      <c:tx>
        <c:rich>
          <a:bodyPr rot="0" spcFirstLastPara="1" vertOverflow="ellipsis" vert="horz" wrap="square" anchor="ctr" anchorCtr="1"/>
          <a:lstStyle/>
          <a:p>
            <a:pPr algn="ctr" rtl="0">
              <a:defRPr sz="1000" b="1" i="0" u="none" strike="noStrike" kern="1200" spc="0" baseline="0">
                <a:solidFill>
                  <a:schemeClr val="accent1"/>
                </a:solidFill>
                <a:latin typeface="+mn-lt"/>
                <a:ea typeface="+mn-ea"/>
                <a:cs typeface="+mn-cs"/>
              </a:defRPr>
            </a:pPr>
            <a:r>
              <a:rPr lang="en-US" sz="1000" b="1">
                <a:solidFill>
                  <a:schemeClr val="accent1"/>
                </a:solidFill>
              </a:rPr>
              <a:t>Top 5 Products by Revenue</a:t>
            </a:r>
          </a:p>
        </c:rich>
      </c:tx>
      <c:layout>
        <c:manualLayout>
          <c:xMode val="edge"/>
          <c:yMode val="edge"/>
          <c:x val="0.15863325740318907"/>
          <c:y val="0"/>
        </c:manualLayout>
      </c:layout>
      <c:overlay val="0"/>
      <c:spPr>
        <a:noFill/>
        <a:ln>
          <a:noFill/>
        </a:ln>
        <a:effectLst/>
      </c:spPr>
      <c:txPr>
        <a:bodyPr rot="0" spcFirstLastPara="1" vertOverflow="ellipsis" vert="horz" wrap="square" anchor="ctr" anchorCtr="1"/>
        <a:lstStyle/>
        <a:p>
          <a:pPr algn="ctr" rtl="0">
            <a:defRPr sz="10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Supporting_Pivots!$O$20</c:f>
              <c:strCache>
                <c:ptCount val="1"/>
                <c:pt idx="0">
                  <c:v>Total</c:v>
                </c:pt>
              </c:strCache>
            </c:strRef>
          </c:tx>
          <c:spPr>
            <a:solidFill>
              <a:schemeClr val="accent1"/>
            </a:solidFill>
            <a:ln>
              <a:noFill/>
            </a:ln>
            <a:effectLst/>
          </c:spPr>
          <c:invertIfNegative val="0"/>
          <c:dLbls>
            <c:numFmt formatCode="[&gt;=1000000]\ #,##0,&quot;M&quot;;[&gt;=1000]\ #,##0,\ &quot;K&quot;;\ #,##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Supporting_Pivots!$N$21:$N$26</c:f>
              <c:strCache>
                <c:ptCount val="5"/>
                <c:pt idx="0">
                  <c:v>Gaming Laptop</c:v>
                </c:pt>
                <c:pt idx="1">
                  <c:v>Laptop Air 13</c:v>
                </c:pt>
                <c:pt idx="2">
                  <c:v>Laptop Pro 14</c:v>
                </c:pt>
                <c:pt idx="3">
                  <c:v>All-in-One PC</c:v>
                </c:pt>
                <c:pt idx="4">
                  <c:v>Ultrawide Monitor</c:v>
                </c:pt>
              </c:strCache>
            </c:strRef>
          </c:cat>
          <c:val>
            <c:numRef>
              <c:f>Supporting_Pivots!$O$21:$O$26</c:f>
              <c:numCache>
                <c:formatCode>[&gt;=1000000]\ "$"\ #,##0.00,,"M";[&gt;=1000]\ \ "$"\ #.00,\ "K";\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ED17-46E3-84D3-E624D313DB61}"/>
            </c:ext>
          </c:extLst>
        </c:ser>
        <c:dLbls>
          <c:dLblPos val="outEnd"/>
          <c:showLegendKey val="0"/>
          <c:showVal val="1"/>
          <c:showCatName val="0"/>
          <c:showSerName val="0"/>
          <c:showPercent val="0"/>
          <c:showBubbleSize val="0"/>
        </c:dLbls>
        <c:gapWidth val="182"/>
        <c:axId val="1137534495"/>
        <c:axId val="1456185776"/>
      </c:barChart>
      <c:catAx>
        <c:axId val="1137534495"/>
        <c:scaling>
          <c:orientation val="maxMin"/>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 Top 5 Products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56185776"/>
        <c:crosses val="autoZero"/>
        <c:auto val="1"/>
        <c:lblAlgn val="ctr"/>
        <c:lblOffset val="100"/>
        <c:noMultiLvlLbl val="0"/>
      </c:catAx>
      <c:valAx>
        <c:axId val="1456185776"/>
        <c:scaling>
          <c:orientation val="minMax"/>
        </c:scaling>
        <c:delete val="0"/>
        <c:axPos val="t"/>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753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[Sales_Revenue_Analytics_Portfolio.xlsx]Supporting_Pivots!PT5_Revenue_by_Month</c:name>
    <c:fmtId val="10"/>
  </c:pivotSource>
  <c:chart>
    <c:title>
      <c:tx>
        <c:rich>
          <a:bodyPr rot="0" spcFirstLastPara="1" vertOverflow="ellipsis" vert="horz" wrap="square" anchor="ctr" anchorCtr="1"/>
          <a:lstStyle/>
          <a:p>
            <a:pPr>
              <a:defRPr sz="1000" b="1" i="0" u="none" strike="noStrike" kern="1200" spc="0" baseline="0">
                <a:solidFill>
                  <a:schemeClr val="tx2"/>
                </a:solidFill>
                <a:latin typeface="+mn-lt"/>
                <a:ea typeface="+mn-ea"/>
                <a:cs typeface="+mn-cs"/>
              </a:defRPr>
            </a:pPr>
            <a:r>
              <a:rPr lang="en-US" sz="1000" b="1">
                <a:solidFill>
                  <a:schemeClr val="tx2"/>
                </a:solidFill>
              </a:rPr>
              <a:t>Revenue by Month</a:t>
            </a:r>
          </a:p>
        </c:rich>
      </c:tx>
      <c:layout>
        <c:manualLayout>
          <c:xMode val="edge"/>
          <c:yMode val="edge"/>
          <c:x val="0.40311693481018585"/>
          <c:y val="4.575481426749247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0,&quot;M&quot;;[&gt;=1000]\ ##0,\ &quot;K&quot;;\ ##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 #,##0,&quot;M&quot;;[&gt;=1000]\ ##0,\ &quot;K&quot;;\ ##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 #,##0,&quot;M&quot;;[&gt;=1000]\ ##0,\ &quot;K&quot;;\ ##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Supporting_Pivots!$C$20</c:f>
              <c:strCache>
                <c:ptCount val="1"/>
                <c:pt idx="0">
                  <c:v>Total</c:v>
                </c:pt>
              </c:strCache>
            </c:strRef>
          </c:tx>
          <c:spPr>
            <a:ln w="28575" cap="rnd">
              <a:solidFill>
                <a:schemeClr val="accent1"/>
              </a:solidFill>
              <a:round/>
            </a:ln>
            <a:effectLst/>
          </c:spPr>
          <c:marker>
            <c:symbol val="none"/>
          </c:marker>
          <c:dLbls>
            <c:numFmt formatCode="[&gt;=1000000]\ #,##0,&quot;M&quot;;[&gt;=1000]\ ##0,\ &quot;K&quot;;\ ##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Supporting_Pivots!$C$21:$C$33</c:f>
              <c:numCache>
                <c:formatCode>[&gt;=1000000]\ "$"\ #,##0.00,,"M";[&gt;=1000]\ \ "$"\ #.00,\ "K";\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6F08-40AB-8E72-FBAFC3DA0A77}"/>
            </c:ext>
          </c:extLst>
        </c:ser>
        <c:dLbls>
          <c:dLblPos val="t"/>
          <c:showLegendKey val="0"/>
          <c:showVal val="1"/>
          <c:showCatName val="0"/>
          <c:showSerName val="0"/>
          <c:showPercent val="0"/>
          <c:showBubbleSize val="0"/>
        </c:dLbls>
        <c:smooth val="0"/>
        <c:axId val="1426458543"/>
        <c:axId val="1426458063"/>
      </c:lineChart>
      <c:catAx>
        <c:axId val="142645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58063"/>
        <c:crosses val="autoZero"/>
        <c:auto val="1"/>
        <c:lblAlgn val="ctr"/>
        <c:lblOffset val="100"/>
        <c:noMultiLvlLbl val="0"/>
      </c:catAx>
      <c:valAx>
        <c:axId val="1426458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5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[Sales_Revenue_Analytics_Portfolio.xlsx]Supporting_Pivots!PT6_Revenue_by_Region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2"/>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Supporting_Pivots!$F$20</c:f>
              <c:strCache>
                <c:ptCount val="1"/>
                <c:pt idx="0">
                  <c:v>Total</c:v>
                </c:pt>
              </c:strCache>
            </c:strRef>
          </c:tx>
          <c:spPr>
            <a:solidFill>
              <a:schemeClr val="accent1"/>
            </a:solidFill>
            <a:ln>
              <a:noFill/>
            </a:ln>
            <a:effectLst/>
          </c:spPr>
          <c:invertIfNegative val="0"/>
          <c:dLbls>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Supporting_Pivots!$E$21:$E$26</c:f>
              <c:strCache>
                <c:ptCount val="5"/>
                <c:pt idx="0">
                  <c:v>Central</c:v>
                </c:pt>
                <c:pt idx="1">
                  <c:v>East</c:v>
                </c:pt>
                <c:pt idx="2">
                  <c:v>North</c:v>
                </c:pt>
                <c:pt idx="3">
                  <c:v>South</c:v>
                </c:pt>
                <c:pt idx="4">
                  <c:v>West</c:v>
                </c:pt>
              </c:strCache>
            </c:strRef>
          </c:cat>
          <c:val>
            <c:numRef>
              <c:f>Supporting_Pivots!$F$21:$F$26</c:f>
              <c:numCache>
                <c:formatCode>[&gt;=1000000]\ "$"\ #,##0.00,,"M";[&gt;=1000]\ \ "$"\ #.00,\ "K";\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AAC8-4E6B-ACA7-D13A795A7475}"/>
            </c:ext>
          </c:extLst>
        </c:ser>
        <c:dLbls>
          <c:dLblPos val="outEnd"/>
          <c:showLegendKey val="0"/>
          <c:showVal val="1"/>
          <c:showCatName val="0"/>
          <c:showSerName val="0"/>
          <c:showPercent val="0"/>
          <c:showBubbleSize val="0"/>
        </c:dLbls>
        <c:gapWidth val="219"/>
        <c:overlap val="-27"/>
        <c:axId val="1400938607"/>
        <c:axId val="1400946767"/>
      </c:barChart>
      <c:catAx>
        <c:axId val="140093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6767"/>
        <c:crosses val="autoZero"/>
        <c:auto val="1"/>
        <c:lblAlgn val="ctr"/>
        <c:lblOffset val="100"/>
        <c:noMultiLvlLbl val="0"/>
      </c:catAx>
      <c:valAx>
        <c:axId val="1400946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[Sales_Revenue_Analytics_Portfolio.xlsx]Supporting_Pivots!PT7_Revenue_by_Category</c:name>
    <c:fmtId val="9"/>
  </c:pivotSource>
  <c:chart>
    <c:title>
      <c:tx>
        <c:rich>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r>
              <a:rPr lang="en-US" sz="1000" b="1" i="0" u="none" strike="noStrike" kern="1200" spc="0" baseline="0">
                <a:solidFill>
                  <a:schemeClr val="tx2"/>
                </a:solidFill>
                <a:latin typeface="+mn-lt"/>
                <a:ea typeface="+mn-ea"/>
                <a:cs typeface="+mn-cs"/>
              </a:rPr>
              <a:t>Revenue by Product Category</a:t>
            </a:r>
          </a:p>
        </c:rich>
      </c:tx>
      <c:layout>
        <c:manualLayout>
          <c:xMode val="edge"/>
          <c:yMode val="edge"/>
          <c:x val="0.404826334208224"/>
          <c:y val="2.7777777777777776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Supporting_Pivots!$I$20</c:f>
              <c:strCache>
                <c:ptCount val="1"/>
                <c:pt idx="0">
                  <c:v>Total</c:v>
                </c:pt>
              </c:strCache>
            </c:strRef>
          </c:tx>
          <c:spPr>
            <a:solidFill>
              <a:schemeClr val="accent1"/>
            </a:solidFill>
            <a:ln>
              <a:noFill/>
            </a:ln>
            <a:effectLst/>
          </c:spPr>
          <c:invertIfNegative val="0"/>
          <c:dLbls>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Supporting_Pivots!$H$21:$H$27</c:f>
              <c:strCache>
                <c:ptCount val="6"/>
                <c:pt idx="0">
                  <c:v>Computers</c:v>
                </c:pt>
                <c:pt idx="1">
                  <c:v>Monitors</c:v>
                </c:pt>
                <c:pt idx="2">
                  <c:v>Networking</c:v>
                </c:pt>
                <c:pt idx="3">
                  <c:v>Storage</c:v>
                </c:pt>
                <c:pt idx="4">
                  <c:v>Accessories</c:v>
                </c:pt>
                <c:pt idx="5">
                  <c:v>Office Supplies</c:v>
                </c:pt>
              </c:strCache>
            </c:strRef>
          </c:cat>
          <c:val>
            <c:numRef>
              <c:f>Supporting_Pivots!$I$21:$I$27</c:f>
              <c:numCache>
                <c:formatCode>[&gt;=1000000]\ "$"\ #,##0.00,,"M";[&gt;=1000]\ \ "$"\ #.00,\ "K";\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A3B3-44F2-B61A-0F3C8C3BEE48}"/>
            </c:ext>
          </c:extLst>
        </c:ser>
        <c:dLbls>
          <c:dLblPos val="outEnd"/>
          <c:showLegendKey val="0"/>
          <c:showVal val="1"/>
          <c:showCatName val="0"/>
          <c:showSerName val="0"/>
          <c:showPercent val="0"/>
          <c:showBubbleSize val="0"/>
        </c:dLbls>
        <c:gapWidth val="219"/>
        <c:overlap val="-27"/>
        <c:axId val="1258734015"/>
        <c:axId val="1258728255"/>
      </c:barChart>
      <c:catAx>
        <c:axId val="125873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28255"/>
        <c:crosses val="autoZero"/>
        <c:auto val="1"/>
        <c:lblAlgn val="ctr"/>
        <c:lblOffset val="100"/>
        <c:noMultiLvlLbl val="0"/>
      </c:catAx>
      <c:valAx>
        <c:axId val="1258728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3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[Sales_Revenue_Analytics_Portfolio.xlsx]Supporting_Pivots!PT8_Revenue_by_Channel</c:name>
    <c:fmtId val="9"/>
  </c:pivotSource>
  <c:chart>
    <c:title>
      <c:tx>
        <c:rich>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r>
              <a:rPr lang="en-US" sz="10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Supporting_Pivots!$L$20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82-415B-8980-6262D496EE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82-415B-8980-6262D496EE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82-415B-8980-6262D496EE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82-415B-8980-6262D496EE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Supporting_Pivots!$K$21:$K$25</c:f>
              <c:strCache>
                <c:ptCount val="4"/>
                <c:pt idx="0">
                  <c:v>Corporate Sales</c:v>
                </c:pt>
                <c:pt idx="1">
                  <c:v>Marketplace</c:v>
                </c:pt>
                <c:pt idx="2">
                  <c:v>Online</c:v>
                </c:pt>
                <c:pt idx="3">
                  <c:v>Retail Store</c:v>
                </c:pt>
              </c:strCache>
            </c:strRef>
          </c:cat>
          <c:val>
            <c:numRef>
              <c:f>Supporting_Pivots!$L$21:$L$25</c:f>
              <c:numCache>
                <c:formatCode>[&gt;=1000000]\ "$"\ #,##0.00,,"M";[&gt;=1000]\ \ "$"\ #.00,\ "K";\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1082-415B-8980-6262D496EE7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bg2">
            <a:lumMod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[Sales_Revenue_Analytics_Portfolio.xlsx]Supporting_Pivots!PT9_Top_5_Products</c:name>
    <c:fmtId val="7"/>
  </c:pivotSource>
  <c:chart>
    <c:title>
      <c:tx>
        <c:rich>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r>
              <a:rPr lang="en-US" sz="1000" b="1" i="0" u="none" strike="noStrike" kern="1200" spc="0" baseline="0">
                <a:solidFill>
                  <a:schemeClr val="tx2"/>
                </a:solidFill>
                <a:latin typeface="+mn-lt"/>
                <a:ea typeface="+mn-ea"/>
                <a:cs typeface="+mn-cs"/>
              </a:rPr>
              <a:t>Top 5 Products by Revenue</a:t>
            </a:r>
          </a:p>
        </c:rich>
      </c:tx>
      <c:layout>
        <c:manualLayout>
          <c:xMode val="edge"/>
          <c:yMode val="edge"/>
          <c:x val="5.301637921662853E-2"/>
          <c:y val="4.129032018344235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06801993820504"/>
          <c:y val="0.23353615192545218"/>
          <c:w val="0.6335454129899144"/>
          <c:h val="0.62308654126567509"/>
        </c:manualLayout>
      </c:layout>
      <c:barChart>
        <c:barDir val="bar"/>
        <c:grouping val="clustered"/>
        <c:varyColors val="0"/>
        <c:ser>
          <c:idx val="0"/>
          <c:order val="0"/>
          <c:tx>
            <c:strRef>
              <c:f>Supporting_Pivots!$O$20</c:f>
              <c:strCache>
                <c:ptCount val="1"/>
                <c:pt idx="0">
                  <c:v>Total</c:v>
                </c:pt>
              </c:strCache>
            </c:strRef>
          </c:tx>
          <c:spPr>
            <a:solidFill>
              <a:schemeClr val="accent1"/>
            </a:solidFill>
            <a:ln>
              <a:noFill/>
            </a:ln>
            <a:effectLst/>
          </c:spPr>
          <c:invertIfNegative val="0"/>
          <c:dLbls>
            <c:numFmt formatCode="[&gt;=1000000]\ #,##0,,&quot;M&quot;;[&gt;=1000]\ #,##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Supporting_Pivots!$N$21:$N$26</c:f>
              <c:strCache>
                <c:ptCount val="5"/>
                <c:pt idx="0">
                  <c:v>Gaming Laptop</c:v>
                </c:pt>
                <c:pt idx="1">
                  <c:v>Laptop Air 13</c:v>
                </c:pt>
                <c:pt idx="2">
                  <c:v>Laptop Pro 14</c:v>
                </c:pt>
                <c:pt idx="3">
                  <c:v>All-in-One PC</c:v>
                </c:pt>
                <c:pt idx="4">
                  <c:v>Ultrawide Monitor</c:v>
                </c:pt>
              </c:strCache>
            </c:strRef>
          </c:cat>
          <c:val>
            <c:numRef>
              <c:f>Supporting_Pivots!$O$21:$O$26</c:f>
              <c:numCache>
                <c:formatCode>[&gt;=1000000]\ "$"\ #,##0.00,,"M";[&gt;=1000]\ \ "$"\ #.00,\ "K";\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562C-4D63-B55F-464726B92319}"/>
            </c:ext>
          </c:extLst>
        </c:ser>
        <c:dLbls>
          <c:dLblPos val="outEnd"/>
          <c:showLegendKey val="0"/>
          <c:showVal val="1"/>
          <c:showCatName val="0"/>
          <c:showSerName val="0"/>
          <c:showPercent val="0"/>
          <c:showBubbleSize val="0"/>
        </c:dLbls>
        <c:gapWidth val="182"/>
        <c:axId val="1576229791"/>
        <c:axId val="1576218751"/>
      </c:barChart>
      <c:catAx>
        <c:axId val="157622979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18751"/>
        <c:crosses val="autoZero"/>
        <c:auto val="1"/>
        <c:lblAlgn val="ctr"/>
        <c:lblOffset val="100"/>
        <c:noMultiLvlLbl val="0"/>
      </c:catAx>
      <c:valAx>
        <c:axId val="1576218751"/>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layout>
            <c:manualLayout>
              <c:xMode val="edge"/>
              <c:yMode val="edge"/>
              <c:x val="0.67678724069832341"/>
              <c:y val="2.945065564853072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quot;M&quot;;[&gt;=1000]\ ##0,\ &quot;K&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2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svg"/><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0</xdr:col>
      <xdr:colOff>59531</xdr:colOff>
      <xdr:row>9</xdr:row>
      <xdr:rowOff>184151</xdr:rowOff>
    </xdr:from>
    <xdr:to>
      <xdr:col>2</xdr:col>
      <xdr:colOff>425291</xdr:colOff>
      <xdr:row>15</xdr:row>
      <xdr:rowOff>95250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1B3FB5F-E229-49D4-BC4C-65B0ADCBC3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531" y="946151"/>
              <a:ext cx="1737360" cy="105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19051</xdr:rowOff>
    </xdr:from>
    <xdr:to>
      <xdr:col>2</xdr:col>
      <xdr:colOff>365760</xdr:colOff>
      <xdr:row>35</xdr:row>
      <xdr:rowOff>47625</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BC2F7951-B623-4FAA-99AB-2700D08474B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4781551"/>
              <a:ext cx="1737360" cy="981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59531</xdr:colOff>
      <xdr:row>15</xdr:row>
      <xdr:rowOff>129118</xdr:rowOff>
    </xdr:from>
    <xdr:to>
      <xdr:col>2</xdr:col>
      <xdr:colOff>425291</xdr:colOff>
      <xdr:row>22</xdr:row>
      <xdr:rowOff>9526</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D8F47030-BAAD-4865-AF16-C38D7D84761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9531" y="2034118"/>
              <a:ext cx="1737360" cy="1213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28576</xdr:colOff>
      <xdr:row>9</xdr:row>
      <xdr:rowOff>180975</xdr:rowOff>
    </xdr:from>
    <xdr:to>
      <xdr:col>5</xdr:col>
      <xdr:colOff>66676</xdr:colOff>
      <xdr:row>17</xdr:row>
      <xdr:rowOff>28575</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07CA3B96-36DD-4033-82D7-44746D70E56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57376" y="942975"/>
              <a:ext cx="12573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136526</xdr:colOff>
      <xdr:row>9</xdr:row>
      <xdr:rowOff>180975</xdr:rowOff>
    </xdr:from>
    <xdr:to>
      <xdr:col>9</xdr:col>
      <xdr:colOff>269876</xdr:colOff>
      <xdr:row>17</xdr:row>
      <xdr:rowOff>28575</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D81CF547-5050-49E1-B9E2-99746CC312B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184526" y="942975"/>
              <a:ext cx="2571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339726</xdr:colOff>
      <xdr:row>9</xdr:row>
      <xdr:rowOff>180975</xdr:rowOff>
    </xdr:from>
    <xdr:to>
      <xdr:col>14</xdr:col>
      <xdr:colOff>406401</xdr:colOff>
      <xdr:row>17</xdr:row>
      <xdr:rowOff>28575</xdr:rowOff>
    </xdr:to>
    <mc:AlternateContent xmlns:mc="http://schemas.openxmlformats.org/markup-compatibility/2006" xmlns:tsle="http://schemas.microsoft.com/office/drawing/2012/timeslicer">
      <mc:Choice Requires="tsle">
        <xdr:graphicFrame macro="">
          <xdr:nvGraphicFramePr>
            <xdr:cNvPr id="7" name="Date 2">
              <a:extLst>
                <a:ext uri="{FF2B5EF4-FFF2-40B4-BE49-F238E27FC236}">
                  <a16:creationId xmlns:a16="http://schemas.microsoft.com/office/drawing/2014/main" id="{499BF5B1-565A-4D6F-87A6-B7353CBE1A3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5826126" y="942975"/>
              <a:ext cx="31146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476250</xdr:colOff>
      <xdr:row>9</xdr:row>
      <xdr:rowOff>180975</xdr:rowOff>
    </xdr:from>
    <xdr:to>
      <xdr:col>19</xdr:col>
      <xdr:colOff>581025</xdr:colOff>
      <xdr:row>17</xdr:row>
      <xdr:rowOff>28575</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FEC4F26D-69EF-4AAD-BF8C-357FAC18D39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9010650" y="942975"/>
              <a:ext cx="31527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154781</xdr:colOff>
      <xdr:row>22</xdr:row>
      <xdr:rowOff>39159</xdr:rowOff>
    </xdr:from>
    <xdr:to>
      <xdr:col>2</xdr:col>
      <xdr:colOff>520541</xdr:colOff>
      <xdr:row>29</xdr:row>
      <xdr:rowOff>175684</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164E3BBB-782B-439A-BB87-DB6F1054E26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54781" y="3277659"/>
              <a:ext cx="1737360" cy="1470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19</xdr:row>
      <xdr:rowOff>0</xdr:rowOff>
    </xdr:from>
    <xdr:to>
      <xdr:col>12</xdr:col>
      <xdr:colOff>238125</xdr:colOff>
      <xdr:row>26</xdr:row>
      <xdr:rowOff>66675</xdr:rowOff>
    </xdr:to>
    <xdr:graphicFrame macro="">
      <xdr:nvGraphicFramePr>
        <xdr:cNvPr id="10" name="PC_Revenue_by_Month">
          <a:extLst>
            <a:ext uri="{FF2B5EF4-FFF2-40B4-BE49-F238E27FC236}">
              <a16:creationId xmlns:a16="http://schemas.microsoft.com/office/drawing/2014/main" id="{C5DFFDDB-A627-4573-8394-4FD47EA42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400050</xdr:colOff>
      <xdr:row>18</xdr:row>
      <xdr:rowOff>171450</xdr:rowOff>
    </xdr:from>
    <xdr:to>
      <xdr:col>19</xdr:col>
      <xdr:colOff>533400</xdr:colOff>
      <xdr:row>27</xdr:row>
      <xdr:rowOff>28575</xdr:rowOff>
    </xdr:to>
    <xdr:graphicFrame macro="">
      <xdr:nvGraphicFramePr>
        <xdr:cNvPr id="11" name="PC_Revenue_by_Region">
          <a:extLst>
            <a:ext uri="{FF2B5EF4-FFF2-40B4-BE49-F238E27FC236}">
              <a16:creationId xmlns:a16="http://schemas.microsoft.com/office/drawing/2014/main" id="{B2A4AAB1-7974-4537-81F0-096E04494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404812</xdr:colOff>
      <xdr:row>27</xdr:row>
      <xdr:rowOff>123825</xdr:rowOff>
    </xdr:from>
    <xdr:to>
      <xdr:col>7</xdr:col>
      <xdr:colOff>400050</xdr:colOff>
      <xdr:row>36</xdr:row>
      <xdr:rowOff>190499</xdr:rowOff>
    </xdr:to>
    <xdr:graphicFrame macro="">
      <xdr:nvGraphicFramePr>
        <xdr:cNvPr id="12" name="PC_Revenue_by_Product_Category">
          <a:extLst>
            <a:ext uri="{FF2B5EF4-FFF2-40B4-BE49-F238E27FC236}">
              <a16:creationId xmlns:a16="http://schemas.microsoft.com/office/drawing/2014/main" id="{6B4DB3AF-FA42-4AAB-B2DF-DA8839936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461962</xdr:colOff>
      <xdr:row>27</xdr:row>
      <xdr:rowOff>104775</xdr:rowOff>
    </xdr:from>
    <xdr:to>
      <xdr:col>12</xdr:col>
      <xdr:colOff>447675</xdr:colOff>
      <xdr:row>36</xdr:row>
      <xdr:rowOff>133351</xdr:rowOff>
    </xdr:to>
    <xdr:graphicFrame macro="">
      <xdr:nvGraphicFramePr>
        <xdr:cNvPr id="13" name="PC_Revenue_by_Sales_Channel">
          <a:extLst>
            <a:ext uri="{FF2B5EF4-FFF2-40B4-BE49-F238E27FC236}">
              <a16:creationId xmlns:a16="http://schemas.microsoft.com/office/drawing/2014/main" id="{31060684-3AE1-405E-AA8D-E125F7DAF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28574</xdr:colOff>
      <xdr:row>27</xdr:row>
      <xdr:rowOff>114300</xdr:rowOff>
    </xdr:from>
    <xdr:to>
      <xdr:col>19</xdr:col>
      <xdr:colOff>552449</xdr:colOff>
      <xdr:row>36</xdr:row>
      <xdr:rowOff>38100</xdr:rowOff>
    </xdr:to>
    <xdr:graphicFrame macro="">
      <xdr:nvGraphicFramePr>
        <xdr:cNvPr id="14" name="PC_Top5Products_by_Revenue">
          <a:extLst>
            <a:ext uri="{FF2B5EF4-FFF2-40B4-BE49-F238E27FC236}">
              <a16:creationId xmlns:a16="http://schemas.microsoft.com/office/drawing/2014/main" id="{7D7D878A-44ED-4F6F-9F04-7A4390410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xdr:col>
      <xdr:colOff>9922</xdr:colOff>
      <xdr:row>8</xdr:row>
      <xdr:rowOff>178594</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FD6F5E3D-34ED-42CD-B294-145923F37E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75469"/>
              <a:ext cx="1220391" cy="1121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29766</xdr:colOff>
      <xdr:row>20</xdr:row>
      <xdr:rowOff>138113</xdr:rowOff>
    </xdr:from>
    <xdr:to>
      <xdr:col>2</xdr:col>
      <xdr:colOff>19843</xdr:colOff>
      <xdr:row>28</xdr:row>
      <xdr:rowOff>148829</xdr:rowOff>
    </xdr:to>
    <mc:AlternateContent xmlns:mc="http://schemas.openxmlformats.org/markup-compatibility/2006">
      <mc:Choice xmlns:a14="http://schemas.microsoft.com/office/drawing/2010/main" Requires="a14">
        <xdr:graphicFrame macro="">
          <xdr:nvGraphicFramePr>
            <xdr:cNvPr id="3" name="Sales Channel 1">
              <a:extLst>
                <a:ext uri="{FF2B5EF4-FFF2-40B4-BE49-F238E27FC236}">
                  <a16:creationId xmlns:a16="http://schemas.microsoft.com/office/drawing/2014/main" id="{FE932EA8-95C8-43B4-A55F-0B03E97B26C0}"/>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29766" y="3918347"/>
              <a:ext cx="1200546" cy="1518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29765</xdr:colOff>
      <xdr:row>29</xdr:row>
      <xdr:rowOff>36115</xdr:rowOff>
    </xdr:from>
    <xdr:to>
      <xdr:col>2</xdr:col>
      <xdr:colOff>19843</xdr:colOff>
      <xdr:row>34</xdr:row>
      <xdr:rowOff>19844</xdr:rowOff>
    </xdr:to>
    <mc:AlternateContent xmlns:mc="http://schemas.openxmlformats.org/markup-compatibility/2006">
      <mc:Choice xmlns:a14="http://schemas.microsoft.com/office/drawing/2010/main" Requires="a14">
        <xdr:graphicFrame macro="">
          <xdr:nvGraphicFramePr>
            <xdr:cNvPr id="4" name="Customer Type 1">
              <a:extLst>
                <a:ext uri="{FF2B5EF4-FFF2-40B4-BE49-F238E27FC236}">
                  <a16:creationId xmlns:a16="http://schemas.microsoft.com/office/drawing/2014/main" id="{0B619D35-B775-44DA-A159-447261FCC901}"/>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29765" y="5512990"/>
              <a:ext cx="1200547" cy="926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9922</xdr:colOff>
      <xdr:row>9</xdr:row>
      <xdr:rowOff>68262</xdr:rowOff>
    </xdr:from>
    <xdr:to>
      <xdr:col>2</xdr:col>
      <xdr:colOff>9922</xdr:colOff>
      <xdr:row>20</xdr:row>
      <xdr:rowOff>99220</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12131E69-5766-4C97-8FC3-C4EF2D21E4B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922" y="1774825"/>
              <a:ext cx="1210469" cy="2104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118401</xdr:colOff>
      <xdr:row>2</xdr:row>
      <xdr:rowOff>186001</xdr:rowOff>
    </xdr:from>
    <xdr:to>
      <xdr:col>4</xdr:col>
      <xdr:colOff>267890</xdr:colOff>
      <xdr:row>10</xdr:row>
      <xdr:rowOff>0</xdr:rowOff>
    </xdr:to>
    <mc:AlternateContent xmlns:mc="http://schemas.openxmlformats.org/markup-compatibility/2006">
      <mc:Choice xmlns:tsle="http://schemas.microsoft.com/office/drawing/2012/timeslicer" Requires="tsle">
        <xdr:graphicFrame macro="">
          <xdr:nvGraphicFramePr>
            <xdr:cNvPr id="6" name="Date 4">
              <a:extLst>
                <a:ext uri="{FF2B5EF4-FFF2-40B4-BE49-F238E27FC236}">
                  <a16:creationId xmlns:a16="http://schemas.microsoft.com/office/drawing/2014/main" id="{4656135C-22CD-448A-8BD7-82F70805ACF1}"/>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328870" y="563032"/>
              <a:ext cx="1359958" cy="13320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4</xdr:col>
      <xdr:colOff>322394</xdr:colOff>
      <xdr:row>2</xdr:row>
      <xdr:rowOff>184944</xdr:rowOff>
    </xdr:from>
    <xdr:to>
      <xdr:col>6</xdr:col>
      <xdr:colOff>595313</xdr:colOff>
      <xdr:row>9</xdr:row>
      <xdr:rowOff>178593</xdr:rowOff>
    </xdr:to>
    <mc:AlternateContent xmlns:mc="http://schemas.openxmlformats.org/markup-compatibility/2006">
      <mc:Choice xmlns:tsle="http://schemas.microsoft.com/office/drawing/2012/timeslicer" Requires="tsle">
        <xdr:graphicFrame macro="">
          <xdr:nvGraphicFramePr>
            <xdr:cNvPr id="7" name="Date 5">
              <a:extLst>
                <a:ext uri="{FF2B5EF4-FFF2-40B4-BE49-F238E27FC236}">
                  <a16:creationId xmlns:a16="http://schemas.microsoft.com/office/drawing/2014/main" id="{B2862266-16F0-40E1-98C7-CA99F003DD57}"/>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2743332" y="561975"/>
              <a:ext cx="1483387" cy="132318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12</xdr:col>
      <xdr:colOff>410632</xdr:colOff>
      <xdr:row>2</xdr:row>
      <xdr:rowOff>185869</xdr:rowOff>
    </xdr:from>
    <xdr:to>
      <xdr:col>20</xdr:col>
      <xdr:colOff>535782</xdr:colOff>
      <xdr:row>9</xdr:row>
      <xdr:rowOff>168670</xdr:rowOff>
    </xdr:to>
    <mc:AlternateContent xmlns:mc="http://schemas.openxmlformats.org/markup-compatibility/2006">
      <mc:Choice xmlns:tsle="http://schemas.microsoft.com/office/drawing/2012/timeslicer" Requires="tsle">
        <xdr:graphicFrame macro="">
          <xdr:nvGraphicFramePr>
            <xdr:cNvPr id="8" name="Date 6">
              <a:extLst>
                <a:ext uri="{FF2B5EF4-FFF2-40B4-BE49-F238E27FC236}">
                  <a16:creationId xmlns:a16="http://schemas.microsoft.com/office/drawing/2014/main" id="{52832899-B149-4ADB-9C33-4500E012A41C}"/>
                </a:ext>
              </a:extLst>
            </xdr:cNvPr>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7673445" y="562900"/>
              <a:ext cx="5066243" cy="13123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7</xdr:col>
      <xdr:colOff>35190</xdr:colOff>
      <xdr:row>2</xdr:row>
      <xdr:rowOff>183488</xdr:rowOff>
    </xdr:from>
    <xdr:to>
      <xdr:col>12</xdr:col>
      <xdr:colOff>342768</xdr:colOff>
      <xdr:row>9</xdr:row>
      <xdr:rowOff>168671</xdr:rowOff>
    </xdr:to>
    <mc:AlternateContent xmlns:mc="http://schemas.openxmlformats.org/markup-compatibility/2006">
      <mc:Choice xmlns:tsle="http://schemas.microsoft.com/office/drawing/2012/timeslicer" Requires="tsle">
        <xdr:graphicFrame macro="">
          <xdr:nvGraphicFramePr>
            <xdr:cNvPr id="9" name="Date 7">
              <a:extLst>
                <a:ext uri="{FF2B5EF4-FFF2-40B4-BE49-F238E27FC236}">
                  <a16:creationId xmlns:a16="http://schemas.microsoft.com/office/drawing/2014/main" id="{B438F813-28D1-47C3-ABA9-FEFAB5643984}"/>
                </a:ext>
              </a:extLst>
            </xdr:cNvP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4271831" y="560519"/>
              <a:ext cx="3333750" cy="13147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39688</xdr:colOff>
      <xdr:row>14</xdr:row>
      <xdr:rowOff>109140</xdr:rowOff>
    </xdr:from>
    <xdr:to>
      <xdr:col>12</xdr:col>
      <xdr:colOff>248046</xdr:colOff>
      <xdr:row>22</xdr:row>
      <xdr:rowOff>99218</xdr:rowOff>
    </xdr:to>
    <xdr:graphicFrame macro="">
      <xdr:nvGraphicFramePr>
        <xdr:cNvPr id="10" name="PC05_Revenue_by_Month">
          <a:extLst>
            <a:ext uri="{FF2B5EF4-FFF2-40B4-BE49-F238E27FC236}">
              <a16:creationId xmlns:a16="http://schemas.microsoft.com/office/drawing/2014/main" id="{5F7EB036-DE6E-4FC7-BB15-D82B96044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198437</xdr:colOff>
      <xdr:row>13</xdr:row>
      <xdr:rowOff>178593</xdr:rowOff>
    </xdr:from>
    <xdr:to>
      <xdr:col>21</xdr:col>
      <xdr:colOff>42333</xdr:colOff>
      <xdr:row>22</xdr:row>
      <xdr:rowOff>181769</xdr:rowOff>
    </xdr:to>
    <xdr:graphicFrame macro="">
      <xdr:nvGraphicFramePr>
        <xdr:cNvPr id="11" name="Chart 10">
          <a:extLst>
            <a:ext uri="{FF2B5EF4-FFF2-40B4-BE49-F238E27FC236}">
              <a16:creationId xmlns:a16="http://schemas.microsoft.com/office/drawing/2014/main" id="{DCEA929C-E45E-45D8-8FDF-59F775079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59532</xdr:colOff>
      <xdr:row>22</xdr:row>
      <xdr:rowOff>148828</xdr:rowOff>
    </xdr:from>
    <xdr:to>
      <xdr:col>9</xdr:col>
      <xdr:colOff>109142</xdr:colOff>
      <xdr:row>33</xdr:row>
      <xdr:rowOff>148828</xdr:rowOff>
    </xdr:to>
    <xdr:graphicFrame macro="">
      <xdr:nvGraphicFramePr>
        <xdr:cNvPr id="12" name="PC07_Revenue_by_Product_Category">
          <a:extLst>
            <a:ext uri="{FF2B5EF4-FFF2-40B4-BE49-F238E27FC236}">
              <a16:creationId xmlns:a16="http://schemas.microsoft.com/office/drawing/2014/main" id="{87D4CBE1-54CE-4C10-AD15-A6C02AF0B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168540</xdr:colOff>
      <xdr:row>23</xdr:row>
      <xdr:rowOff>29765</xdr:rowOff>
    </xdr:from>
    <xdr:to>
      <xdr:col>15</xdr:col>
      <xdr:colOff>545702</xdr:colOff>
      <xdr:row>33</xdr:row>
      <xdr:rowOff>151607</xdr:rowOff>
    </xdr:to>
    <xdr:graphicFrame macro="">
      <xdr:nvGraphicFramePr>
        <xdr:cNvPr id="13" name="PC08_Revenue_by_Sales_Channel">
          <a:extLst>
            <a:ext uri="{FF2B5EF4-FFF2-40B4-BE49-F238E27FC236}">
              <a16:creationId xmlns:a16="http://schemas.microsoft.com/office/drawing/2014/main" id="{6865879D-170D-4F8A-BAFE-C20BEEBCE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575468</xdr:colOff>
      <xdr:row>22</xdr:row>
      <xdr:rowOff>158750</xdr:rowOff>
    </xdr:from>
    <xdr:to>
      <xdr:col>21</xdr:col>
      <xdr:colOff>0</xdr:colOff>
      <xdr:row>33</xdr:row>
      <xdr:rowOff>158750</xdr:rowOff>
    </xdr:to>
    <xdr:graphicFrame macro="">
      <xdr:nvGraphicFramePr>
        <xdr:cNvPr id="14" name="PC09_Top_5_Products_by_Revenue">
          <a:extLst>
            <a:ext uri="{FF2B5EF4-FFF2-40B4-BE49-F238E27FC236}">
              <a16:creationId xmlns:a16="http://schemas.microsoft.com/office/drawing/2014/main" id="{33579EAF-EB43-4921-8E3F-9EEC19B05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79375</xdr:colOff>
      <xdr:row>10</xdr:row>
      <xdr:rowOff>109140</xdr:rowOff>
    </xdr:from>
    <xdr:to>
      <xdr:col>6</xdr:col>
      <xdr:colOff>386953</xdr:colOff>
      <xdr:row>14</xdr:row>
      <xdr:rowOff>49608</xdr:rowOff>
    </xdr:to>
    <xdr:sp macro="" textlink="">
      <xdr:nvSpPr>
        <xdr:cNvPr id="15" name="Rectangle: Rounded Corners 14">
          <a:extLst>
            <a:ext uri="{FF2B5EF4-FFF2-40B4-BE49-F238E27FC236}">
              <a16:creationId xmlns:a16="http://schemas.microsoft.com/office/drawing/2014/main" id="{3F49E666-CBA4-8092-5846-3BECD074C7BC}"/>
            </a:ext>
          </a:extLst>
        </xdr:cNvPr>
        <xdr:cNvSpPr/>
      </xdr:nvSpPr>
      <xdr:spPr>
        <a:xfrm>
          <a:off x="1289844" y="1994296"/>
          <a:ext cx="2728515" cy="69453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a:p>
      </xdr:txBody>
    </xdr:sp>
    <xdr:clientData/>
  </xdr:twoCellAnchor>
  <xdr:twoCellAnchor>
    <xdr:from>
      <xdr:col>2</xdr:col>
      <xdr:colOff>9923</xdr:colOff>
      <xdr:row>10</xdr:row>
      <xdr:rowOff>128984</xdr:rowOff>
    </xdr:from>
    <xdr:to>
      <xdr:col>6</xdr:col>
      <xdr:colOff>585392</xdr:colOff>
      <xdr:row>13</xdr:row>
      <xdr:rowOff>188513</xdr:rowOff>
    </xdr:to>
    <xdr:grpSp>
      <xdr:nvGrpSpPr>
        <xdr:cNvPr id="24" name="Group 23">
          <a:extLst>
            <a:ext uri="{FF2B5EF4-FFF2-40B4-BE49-F238E27FC236}">
              <a16:creationId xmlns:a16="http://schemas.microsoft.com/office/drawing/2014/main" id="{BB3F143B-8C61-A3A3-0A8C-3AC8C3B1C71C}"/>
            </a:ext>
          </a:extLst>
        </xdr:cNvPr>
        <xdr:cNvGrpSpPr/>
      </xdr:nvGrpSpPr>
      <xdr:grpSpPr>
        <a:xfrm>
          <a:off x="1220392" y="2024062"/>
          <a:ext cx="2996406" cy="625076"/>
          <a:chOff x="1148635" y="1994297"/>
          <a:chExt cx="2304177" cy="625076"/>
        </a:xfrm>
      </xdr:grpSpPr>
      <xdr:grpSp>
        <xdr:nvGrpSpPr>
          <xdr:cNvPr id="23" name="Group 22">
            <a:extLst>
              <a:ext uri="{FF2B5EF4-FFF2-40B4-BE49-F238E27FC236}">
                <a16:creationId xmlns:a16="http://schemas.microsoft.com/office/drawing/2014/main" id="{A37C3072-FA9C-9F6D-E8D4-B67E49DBA882}"/>
              </a:ext>
            </a:extLst>
          </xdr:cNvPr>
          <xdr:cNvGrpSpPr/>
        </xdr:nvGrpSpPr>
        <xdr:grpSpPr>
          <a:xfrm>
            <a:off x="1339454" y="1994297"/>
            <a:ext cx="2113358" cy="625076"/>
            <a:chOff x="1339454" y="1994297"/>
            <a:chExt cx="2113358" cy="625076"/>
          </a:xfrm>
        </xdr:grpSpPr>
        <xdr:sp macro="" textlink="Supporting_Pivots!$B$17">
          <xdr:nvSpPr>
            <xdr:cNvPr id="17" name="TextBox 16">
              <a:extLst>
                <a:ext uri="{FF2B5EF4-FFF2-40B4-BE49-F238E27FC236}">
                  <a16:creationId xmlns:a16="http://schemas.microsoft.com/office/drawing/2014/main" id="{7CE63A05-6712-49FB-066D-71D399925BF5}"/>
                </a:ext>
              </a:extLst>
            </xdr:cNvPr>
            <xdr:cNvSpPr txBox="1"/>
          </xdr:nvSpPr>
          <xdr:spPr>
            <a:xfrm>
              <a:off x="1751034" y="2262186"/>
              <a:ext cx="1364433"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0B0322-8E08-4AB4-8925-EABB1C71DE07}" type="TxLink">
                <a:rPr lang="en-US" sz="2400" b="1" i="0" u="none" strike="noStrike">
                  <a:solidFill>
                    <a:schemeClr val="accent1"/>
                  </a:solidFill>
                  <a:latin typeface="Aptos Narrow"/>
                </a:rPr>
                <a:pPr algn="ctr"/>
                <a:t> $ 2.45M</a:t>
              </a:fld>
              <a:endParaRPr lang="en-US" sz="2400" b="1">
                <a:solidFill>
                  <a:schemeClr val="accent1"/>
                </a:solidFill>
              </a:endParaRPr>
            </a:p>
          </xdr:txBody>
        </xdr:sp>
        <xdr:sp macro="" textlink="Supporting_Pivots!$B$17">
          <xdr:nvSpPr>
            <xdr:cNvPr id="18" name="TextBox 17">
              <a:extLst>
                <a:ext uri="{FF2B5EF4-FFF2-40B4-BE49-F238E27FC236}">
                  <a16:creationId xmlns:a16="http://schemas.microsoft.com/office/drawing/2014/main" id="{746FCCB8-5C3E-BBF0-FC08-1915FED9737F}"/>
                </a:ext>
              </a:extLst>
            </xdr:cNvPr>
            <xdr:cNvSpPr txBox="1"/>
          </xdr:nvSpPr>
          <xdr:spPr>
            <a:xfrm>
              <a:off x="1339454" y="1994297"/>
              <a:ext cx="211335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rPr>
                <a:t>Total</a:t>
              </a:r>
              <a:r>
                <a:rPr lang="en-US" sz="1800" b="1" baseline="0">
                  <a:solidFill>
                    <a:schemeClr val="tx1"/>
                  </a:solidFill>
                </a:rPr>
                <a:t> Revenue</a:t>
              </a:r>
              <a:endParaRPr lang="en-US" sz="1800" b="1">
                <a:solidFill>
                  <a:schemeClr val="tx1"/>
                </a:solidFill>
              </a:endParaRPr>
            </a:p>
          </xdr:txBody>
        </xdr:sp>
      </xdr:grpSp>
      <xdr:pic>
        <xdr:nvPicPr>
          <xdr:cNvPr id="21" name="Picture 20" descr="Dollar with solid fill">
            <a:extLst>
              <a:ext uri="{FF2B5EF4-FFF2-40B4-BE49-F238E27FC236}">
                <a16:creationId xmlns:a16="http://schemas.microsoft.com/office/drawing/2014/main" id="{0A39D077-0FA4-52DA-1090-F1A8D27DF6B7}"/>
              </a:ext>
            </a:extLst>
          </xdr:cNvPr>
          <xdr:cNvPicPr>
            <a:picLocks noChangeAspect="1"/>
          </xdr:cNvPicPr>
        </xdr:nvPicPr>
        <xdr:blipFill>
          <a:blip xmlns:r="http://schemas.openxmlformats.org/officeDocument/2006/relationships" r:embed="rId6"/>
          <a:stretch>
            <a:fillRect/>
          </a:stretch>
        </xdr:blipFill>
        <xdr:spPr>
          <a:xfrm>
            <a:off x="1148635" y="2001747"/>
            <a:ext cx="652008" cy="607706"/>
          </a:xfrm>
          <a:prstGeom prst="rect">
            <a:avLst/>
          </a:prstGeom>
          <a:noFill/>
          <a:ln>
            <a:noFill/>
          </a:ln>
        </xdr:spPr>
      </xdr:pic>
    </xdr:grpSp>
    <xdr:clientData/>
  </xdr:twoCellAnchor>
  <xdr:twoCellAnchor>
    <xdr:from>
      <xdr:col>11</xdr:col>
      <xdr:colOff>389604</xdr:colOff>
      <xdr:row>10</xdr:row>
      <xdr:rowOff>92869</xdr:rowOff>
    </xdr:from>
    <xdr:to>
      <xdr:col>16</xdr:col>
      <xdr:colOff>208359</xdr:colOff>
      <xdr:row>13</xdr:row>
      <xdr:rowOff>152400</xdr:rowOff>
    </xdr:to>
    <xdr:grpSp>
      <xdr:nvGrpSpPr>
        <xdr:cNvPr id="25" name="Group 24">
          <a:extLst>
            <a:ext uri="{FF2B5EF4-FFF2-40B4-BE49-F238E27FC236}">
              <a16:creationId xmlns:a16="http://schemas.microsoft.com/office/drawing/2014/main" id="{652E8A38-3078-8701-6B21-031E424B66BA}"/>
            </a:ext>
          </a:extLst>
        </xdr:cNvPr>
        <xdr:cNvGrpSpPr/>
      </xdr:nvGrpSpPr>
      <xdr:grpSpPr>
        <a:xfrm>
          <a:off x="7047182" y="1987947"/>
          <a:ext cx="2844927" cy="625078"/>
          <a:chOff x="1119935" y="1994297"/>
          <a:chExt cx="2332877" cy="625078"/>
        </a:xfrm>
      </xdr:grpSpPr>
      <xdr:grpSp>
        <xdr:nvGrpSpPr>
          <xdr:cNvPr id="26" name="Group 25">
            <a:extLst>
              <a:ext uri="{FF2B5EF4-FFF2-40B4-BE49-F238E27FC236}">
                <a16:creationId xmlns:a16="http://schemas.microsoft.com/office/drawing/2014/main" id="{D237EB7E-4F00-EB10-2E76-5DC713DDF88D}"/>
              </a:ext>
            </a:extLst>
          </xdr:cNvPr>
          <xdr:cNvGrpSpPr/>
        </xdr:nvGrpSpPr>
        <xdr:grpSpPr>
          <a:xfrm>
            <a:off x="1339454" y="1994297"/>
            <a:ext cx="2113358" cy="625076"/>
            <a:chOff x="1339454" y="1994297"/>
            <a:chExt cx="2113358" cy="625076"/>
          </a:xfrm>
        </xdr:grpSpPr>
        <xdr:sp macro="" textlink="Supporting_Pivots!$F$17">
          <xdr:nvSpPr>
            <xdr:cNvPr id="28" name="TextBox 27">
              <a:extLst>
                <a:ext uri="{FF2B5EF4-FFF2-40B4-BE49-F238E27FC236}">
                  <a16:creationId xmlns:a16="http://schemas.microsoft.com/office/drawing/2014/main" id="{602EC66F-2BE5-DF99-EFA6-CC5F40FC7CBA}"/>
                </a:ext>
              </a:extLst>
            </xdr:cNvPr>
            <xdr:cNvSpPr txBox="1"/>
          </xdr:nvSpPr>
          <xdr:spPr>
            <a:xfrm>
              <a:off x="1656952" y="2262186"/>
              <a:ext cx="14585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5E90D8-DF1A-430D-B3D7-D7B9BEE4E2D5}" type="TxLink">
                <a:rPr lang="en-US" sz="2400" b="1" i="0" u="none" strike="noStrike">
                  <a:solidFill>
                    <a:schemeClr val="accent1"/>
                  </a:solidFill>
                  <a:latin typeface="Aptos Narrow"/>
                </a:rPr>
                <a:t>5552</a:t>
              </a:fld>
              <a:endParaRPr lang="en-US" sz="2400" b="1">
                <a:solidFill>
                  <a:schemeClr val="accent1"/>
                </a:solidFill>
              </a:endParaRPr>
            </a:p>
          </xdr:txBody>
        </xdr:sp>
        <xdr:sp macro="" textlink="Supporting_Pivots!$B$17">
          <xdr:nvSpPr>
            <xdr:cNvPr id="29" name="TextBox 28">
              <a:extLst>
                <a:ext uri="{FF2B5EF4-FFF2-40B4-BE49-F238E27FC236}">
                  <a16:creationId xmlns:a16="http://schemas.microsoft.com/office/drawing/2014/main" id="{F730FA2F-0774-CF1B-0356-32023DF1B863}"/>
                </a:ext>
              </a:extLst>
            </xdr:cNvPr>
            <xdr:cNvSpPr txBox="1"/>
          </xdr:nvSpPr>
          <xdr:spPr>
            <a:xfrm>
              <a:off x="1339454" y="1994297"/>
              <a:ext cx="211335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rPr>
                <a:t>Quantity</a:t>
              </a:r>
              <a:r>
                <a:rPr lang="en-US" sz="1800" b="1" baseline="0">
                  <a:solidFill>
                    <a:schemeClr val="tx1"/>
                  </a:solidFill>
                </a:rPr>
                <a:t> Sold</a:t>
              </a:r>
              <a:endParaRPr lang="en-US" sz="1800" b="1">
                <a:solidFill>
                  <a:schemeClr val="tx1"/>
                </a:solidFill>
              </a:endParaRPr>
            </a:p>
          </xdr:txBody>
        </xdr:sp>
      </xdr:grpSp>
      <xdr:pic>
        <xdr:nvPicPr>
          <xdr:cNvPr id="27" name="Picture 26" descr="Box with solid fill">
            <a:extLst>
              <a:ext uri="{FF2B5EF4-FFF2-40B4-BE49-F238E27FC236}">
                <a16:creationId xmlns:a16="http://schemas.microsoft.com/office/drawing/2014/main" id="{B98E5FF5-FBE3-F395-CCFE-9B7B439118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119935" y="2011669"/>
            <a:ext cx="498327" cy="607706"/>
          </a:xfrm>
          <a:prstGeom prst="rect">
            <a:avLst/>
          </a:prstGeom>
        </xdr:spPr>
      </xdr:pic>
    </xdr:grpSp>
    <xdr:clientData/>
  </xdr:twoCellAnchor>
  <xdr:twoCellAnchor>
    <xdr:from>
      <xdr:col>7</xdr:col>
      <xdr:colOff>37757</xdr:colOff>
      <xdr:row>10</xdr:row>
      <xdr:rowOff>133655</xdr:rowOff>
    </xdr:from>
    <xdr:to>
      <xdr:col>11</xdr:col>
      <xdr:colOff>218281</xdr:colOff>
      <xdr:row>14</xdr:row>
      <xdr:rowOff>26984</xdr:rowOff>
    </xdr:to>
    <xdr:grpSp>
      <xdr:nvGrpSpPr>
        <xdr:cNvPr id="30" name="Group 29">
          <a:extLst>
            <a:ext uri="{FF2B5EF4-FFF2-40B4-BE49-F238E27FC236}">
              <a16:creationId xmlns:a16="http://schemas.microsoft.com/office/drawing/2014/main" id="{7B9C77E1-0D74-1B0F-725C-93DC310FBC4A}"/>
            </a:ext>
          </a:extLst>
        </xdr:cNvPr>
        <xdr:cNvGrpSpPr/>
      </xdr:nvGrpSpPr>
      <xdr:grpSpPr>
        <a:xfrm>
          <a:off x="4274398" y="2028733"/>
          <a:ext cx="2601461" cy="647392"/>
          <a:chOff x="1428117" y="1971981"/>
          <a:chExt cx="2113358" cy="647392"/>
        </a:xfrm>
      </xdr:grpSpPr>
      <xdr:grpSp>
        <xdr:nvGrpSpPr>
          <xdr:cNvPr id="31" name="Group 30">
            <a:extLst>
              <a:ext uri="{FF2B5EF4-FFF2-40B4-BE49-F238E27FC236}">
                <a16:creationId xmlns:a16="http://schemas.microsoft.com/office/drawing/2014/main" id="{0E5A83DA-DCE1-34E1-592A-91B5A33AED49}"/>
              </a:ext>
            </a:extLst>
          </xdr:cNvPr>
          <xdr:cNvGrpSpPr/>
        </xdr:nvGrpSpPr>
        <xdr:grpSpPr>
          <a:xfrm>
            <a:off x="1428117" y="1994297"/>
            <a:ext cx="2113358" cy="625076"/>
            <a:chOff x="1428117" y="1994297"/>
            <a:chExt cx="2113358" cy="625076"/>
          </a:xfrm>
        </xdr:grpSpPr>
        <xdr:sp macro="" textlink="Supporting_Pivots!$D$17">
          <xdr:nvSpPr>
            <xdr:cNvPr id="33" name="TextBox 32">
              <a:extLst>
                <a:ext uri="{FF2B5EF4-FFF2-40B4-BE49-F238E27FC236}">
                  <a16:creationId xmlns:a16="http://schemas.microsoft.com/office/drawing/2014/main" id="{F14FAB6A-2776-FB86-2477-B8F4B56CB707}"/>
                </a:ext>
              </a:extLst>
            </xdr:cNvPr>
            <xdr:cNvSpPr txBox="1"/>
          </xdr:nvSpPr>
          <xdr:spPr>
            <a:xfrm>
              <a:off x="1656952" y="2262186"/>
              <a:ext cx="14585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E2031E-AED1-4A2F-8F19-43BD4B469636}" type="TxLink">
                <a:rPr lang="en-US" sz="2400" b="1" i="0" u="none" strike="noStrike">
                  <a:solidFill>
                    <a:schemeClr val="accent1"/>
                  </a:solidFill>
                  <a:latin typeface="Aptos Narrow"/>
                </a:rPr>
                <a:t>2000</a:t>
              </a:fld>
              <a:endParaRPr lang="en-US" sz="2400" b="1">
                <a:solidFill>
                  <a:schemeClr val="accent1"/>
                </a:solidFill>
              </a:endParaRPr>
            </a:p>
          </xdr:txBody>
        </xdr:sp>
        <xdr:sp macro="" textlink="Supporting_Pivots!$B$17">
          <xdr:nvSpPr>
            <xdr:cNvPr id="34" name="TextBox 33">
              <a:extLst>
                <a:ext uri="{FF2B5EF4-FFF2-40B4-BE49-F238E27FC236}">
                  <a16:creationId xmlns:a16="http://schemas.microsoft.com/office/drawing/2014/main" id="{C20793B8-16A5-E996-48B2-05ED6BE59D0F}"/>
                </a:ext>
              </a:extLst>
            </xdr:cNvPr>
            <xdr:cNvSpPr txBox="1"/>
          </xdr:nvSpPr>
          <xdr:spPr>
            <a:xfrm>
              <a:off x="1428117" y="1994297"/>
              <a:ext cx="211335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rPr>
                <a:t>Total</a:t>
              </a:r>
              <a:r>
                <a:rPr lang="en-US" sz="1800" b="1" baseline="0">
                  <a:solidFill>
                    <a:schemeClr val="tx1"/>
                  </a:solidFill>
                </a:rPr>
                <a:t> Orders</a:t>
              </a:r>
              <a:endParaRPr lang="en-US" sz="1800" b="1">
                <a:solidFill>
                  <a:schemeClr val="tx1"/>
                </a:solidFill>
              </a:endParaRPr>
            </a:p>
          </xdr:txBody>
        </xdr:sp>
      </xdr:grpSp>
      <xdr:pic>
        <xdr:nvPicPr>
          <xdr:cNvPr id="32" name="Picture 31" descr="Shopping cart with solid fill">
            <a:extLst>
              <a:ext uri="{FF2B5EF4-FFF2-40B4-BE49-F238E27FC236}">
                <a16:creationId xmlns:a16="http://schemas.microsoft.com/office/drawing/2014/main" id="{4BE05FC4-4F78-A39F-BF14-66A0D3F72A1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436304" y="1971981"/>
            <a:ext cx="493685" cy="607706"/>
          </a:xfrm>
          <a:prstGeom prst="rect">
            <a:avLst/>
          </a:prstGeom>
          <a:noFill/>
          <a:ln w="9525" cmpd="sng">
            <a:noFill/>
          </a:ln>
        </xdr:spPr>
      </xdr:pic>
    </xdr:grpSp>
    <xdr:clientData/>
  </xdr:twoCellAnchor>
  <xdr:twoCellAnchor>
    <xdr:from>
      <xdr:col>16</xdr:col>
      <xdr:colOff>277422</xdr:colOff>
      <xdr:row>10</xdr:row>
      <xdr:rowOff>40481</xdr:rowOff>
    </xdr:from>
    <xdr:to>
      <xdr:col>21</xdr:col>
      <xdr:colOff>39688</xdr:colOff>
      <xdr:row>13</xdr:row>
      <xdr:rowOff>100012</xdr:rowOff>
    </xdr:to>
    <xdr:grpSp>
      <xdr:nvGrpSpPr>
        <xdr:cNvPr id="35" name="Group 34">
          <a:extLst>
            <a:ext uri="{FF2B5EF4-FFF2-40B4-BE49-F238E27FC236}">
              <a16:creationId xmlns:a16="http://schemas.microsoft.com/office/drawing/2014/main" id="{AA619AE1-A06F-951F-371C-7E7264C8716B}"/>
            </a:ext>
          </a:extLst>
        </xdr:cNvPr>
        <xdr:cNvGrpSpPr/>
      </xdr:nvGrpSpPr>
      <xdr:grpSpPr>
        <a:xfrm>
          <a:off x="9961172" y="1935559"/>
          <a:ext cx="2887657" cy="625078"/>
          <a:chOff x="1249619" y="1994297"/>
          <a:chExt cx="2203193" cy="625078"/>
        </a:xfrm>
      </xdr:grpSpPr>
      <xdr:grpSp>
        <xdr:nvGrpSpPr>
          <xdr:cNvPr id="36" name="Group 35">
            <a:extLst>
              <a:ext uri="{FF2B5EF4-FFF2-40B4-BE49-F238E27FC236}">
                <a16:creationId xmlns:a16="http://schemas.microsoft.com/office/drawing/2014/main" id="{0F754E29-8E1D-D6CE-1B03-3F1F4D8C6946}"/>
              </a:ext>
            </a:extLst>
          </xdr:cNvPr>
          <xdr:cNvGrpSpPr/>
        </xdr:nvGrpSpPr>
        <xdr:grpSpPr>
          <a:xfrm>
            <a:off x="1339454" y="1994297"/>
            <a:ext cx="2113358" cy="625076"/>
            <a:chOff x="1339454" y="1994297"/>
            <a:chExt cx="2113358" cy="625076"/>
          </a:xfrm>
        </xdr:grpSpPr>
        <xdr:sp macro="" textlink="Supporting_Pivots!$H$17">
          <xdr:nvSpPr>
            <xdr:cNvPr id="38" name="TextBox 37">
              <a:extLst>
                <a:ext uri="{FF2B5EF4-FFF2-40B4-BE49-F238E27FC236}">
                  <a16:creationId xmlns:a16="http://schemas.microsoft.com/office/drawing/2014/main" id="{8BF2DF8E-F8FC-799B-0C17-6D9B5FEE258D}"/>
                </a:ext>
              </a:extLst>
            </xdr:cNvPr>
            <xdr:cNvSpPr txBox="1"/>
          </xdr:nvSpPr>
          <xdr:spPr>
            <a:xfrm>
              <a:off x="1656952" y="2262186"/>
              <a:ext cx="14585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0D07D9-986A-4A96-9C1A-8585564EAB83}" type="TxLink">
                <a:rPr lang="en-US" sz="2400" b="1" i="0" u="none" strike="noStrike">
                  <a:solidFill>
                    <a:schemeClr val="accent1"/>
                  </a:solidFill>
                  <a:latin typeface="Aptos Narrow"/>
                </a:rPr>
                <a:t>  $ 1.23 K</a:t>
              </a:fld>
              <a:endParaRPr lang="en-US" sz="2400" b="1">
                <a:solidFill>
                  <a:schemeClr val="accent1"/>
                </a:solidFill>
              </a:endParaRPr>
            </a:p>
          </xdr:txBody>
        </xdr:sp>
        <xdr:sp macro="" textlink="Supporting_Pivots!$B$17">
          <xdr:nvSpPr>
            <xdr:cNvPr id="39" name="TextBox 38">
              <a:extLst>
                <a:ext uri="{FF2B5EF4-FFF2-40B4-BE49-F238E27FC236}">
                  <a16:creationId xmlns:a16="http://schemas.microsoft.com/office/drawing/2014/main" id="{2E6337BF-2ED8-337C-E20C-DC0E6AF478B3}"/>
                </a:ext>
              </a:extLst>
            </xdr:cNvPr>
            <xdr:cNvSpPr txBox="1"/>
          </xdr:nvSpPr>
          <xdr:spPr>
            <a:xfrm>
              <a:off x="1339454" y="1994297"/>
              <a:ext cx="211335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rPr>
                <a:t>Average</a:t>
              </a:r>
              <a:r>
                <a:rPr lang="en-US" sz="1800" b="1" baseline="0">
                  <a:solidFill>
                    <a:schemeClr val="tx1"/>
                  </a:solidFill>
                </a:rPr>
                <a:t> Order Value</a:t>
              </a:r>
              <a:endParaRPr lang="en-US" sz="1800" b="1">
                <a:solidFill>
                  <a:schemeClr val="tx1"/>
                </a:solidFill>
              </a:endParaRPr>
            </a:p>
          </xdr:txBody>
        </xdr:sp>
      </xdr:grpSp>
      <xdr:pic>
        <xdr:nvPicPr>
          <xdr:cNvPr id="37" name="Picture 36" descr="Label with solid fill">
            <a:extLst>
              <a:ext uri="{FF2B5EF4-FFF2-40B4-BE49-F238E27FC236}">
                <a16:creationId xmlns:a16="http://schemas.microsoft.com/office/drawing/2014/main" id="{441F009E-6CC7-962E-525E-DC8C12A60A6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249619" y="2011669"/>
            <a:ext cx="480159" cy="607706"/>
          </a:xfrm>
          <a:prstGeom prst="rect">
            <a:avLst/>
          </a:prstGeom>
        </xdr:spPr>
      </xdr:pic>
    </xdr:grpSp>
    <xdr:clientData/>
  </xdr:twoCellAnchor>
  <xdr:twoCellAnchor editAs="oneCell">
    <xdr:from>
      <xdr:col>16</xdr:col>
      <xdr:colOff>297656</xdr:colOff>
      <xdr:row>0</xdr:row>
      <xdr:rowOff>0</xdr:rowOff>
    </xdr:from>
    <xdr:to>
      <xdr:col>18</xdr:col>
      <xdr:colOff>9922</xdr:colOff>
      <xdr:row>2</xdr:row>
      <xdr:rowOff>188516</xdr:rowOff>
    </xdr:to>
    <xdr:pic>
      <xdr:nvPicPr>
        <xdr:cNvPr id="41" name="Graphic 40" descr="Daily calendar with solid fill">
          <a:extLst>
            <a:ext uri="{FF2B5EF4-FFF2-40B4-BE49-F238E27FC236}">
              <a16:creationId xmlns:a16="http://schemas.microsoft.com/office/drawing/2014/main" id="{BAF1A385-7041-2889-611C-44780172DDF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81406" y="0"/>
          <a:ext cx="922735" cy="5655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wight Jones" refreshedDate="46247.602835879632" createdVersion="8" refreshedVersion="8" minRefreshableVersion="3" recordCount="2000" xr:uid="{3271B28B-25E7-4E3B-9227-7E813D5A40A7}">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93114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DAE1E-46E9-4DBD-93FA-1A812C132510}" name="PT4_Average_Order_Averag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6:H1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A2DC6-0E95-4351-BB3F-3F168D1BE955}" name="PT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6:D17"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A24D45-2610-4D49-8208-C1204C16D824}" name="PT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N20:O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9"/>
    </i>
    <i>
      <x v="17"/>
    </i>
    <i>
      <x v="16"/>
    </i>
    <i>
      <x v="25"/>
    </i>
    <i>
      <x v="5"/>
    </i>
    <i t="grand">
      <x/>
    </i>
  </rowItems>
  <colItems count="1">
    <i/>
  </colItems>
  <dataFields count="1">
    <dataField name="Sum of Revenue" fld="11" baseField="0" baseItem="0" numFmtId="164"/>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F55AC-39A3-449B-81F8-7D4E05D888DD}" name="PT1_Table_Revenue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6:B1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B1F7B0-2CFC-45AA-B5AE-D15B058E6742}" name="PT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20:F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6978FC-3E1B-4D84-8674-F29B0530E878}" name="PT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K20:L2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1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5458D9-6617-4E31-8B12-7C4A3D9E7FAB}" name="PT3_TQ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6:F1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CD3165-EB93-45C6-88DF-5C944975F74B}" name="PT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H20:I2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500E14-5A66-4991-B1E5-A47B2BFE574E}" name="PT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20:C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2" numFmtId="164"/>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9D18F6-9315-465C-A1B5-5E1009DDE645}" sourceName="Region">
  <pivotTables>
    <pivotTable tabId="3" name="PT3_TQ_Total_Quantity"/>
    <pivotTable tabId="3" name="PT1_Table_Revenue_Sales"/>
    <pivotTable tabId="3" name="PT2_Total_Orders"/>
    <pivotTable tabId="3" name="PT4_Average_Order_Average"/>
    <pivotTable tabId="3" name="PT5_Revenue_by_Month"/>
    <pivotTable tabId="3" name="PT6_Revenue_by_Region"/>
    <pivotTable tabId="3" name="PT7_Revenue_by_Category"/>
    <pivotTable tabId="3" name="PT8_Revenue_by_Channel"/>
    <pivotTable tabId="3" name="PT9_Top_5_Products"/>
  </pivotTables>
  <data>
    <tabular pivotCacheId="199311402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43B9091-0A50-439B-B54E-72612BD8E63F}" sourceName="Customer Type">
  <pivotTables>
    <pivotTable tabId="3" name="PT1_Table_Revenue_Sales"/>
    <pivotTable tabId="3" name="PT2_Total_Orders"/>
    <pivotTable tabId="3" name="PT3_TQ_Total_Quantity"/>
    <pivotTable tabId="3" name="PT4_Average_Order_Average"/>
    <pivotTable tabId="3" name="PT5_Revenue_by_Month"/>
    <pivotTable tabId="3" name="PT6_Revenue_by_Region"/>
    <pivotTable tabId="3" name="PT7_Revenue_by_Category"/>
    <pivotTable tabId="3" name="PT8_Revenue_by_Channel"/>
    <pivotTable tabId="3" name="PT9_Top_5_Products"/>
  </pivotTables>
  <data>
    <tabular pivotCacheId="19931140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484FFAE-E473-42BD-9300-ACC604BA6ED7}" sourceName="Product Category">
  <pivotTables>
    <pivotTable tabId="3" name="PT1_Table_Revenue_Sales"/>
    <pivotTable tabId="3" name="PT2_Total_Orders"/>
    <pivotTable tabId="3" name="PT3_TQ_Total_Quantity"/>
    <pivotTable tabId="3" name="PT4_Average_Order_Average"/>
    <pivotTable tabId="3" name="PT5_Revenue_by_Month"/>
    <pivotTable tabId="3" name="PT6_Revenue_by_Region"/>
    <pivotTable tabId="3" name="PT7_Revenue_by_Category"/>
    <pivotTable tabId="3" name="PT8_Revenue_by_Channel"/>
    <pivotTable tabId="3" name="PT9_Top_5_Products"/>
  </pivotTables>
  <data>
    <tabular pivotCacheId="1993114026">
      <items count="6">
        <i x="0" s="1"/>
        <i x="3" s="1"/>
        <i x="4"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345ACFD-E977-4E55-AFB8-89676DFABE9E}" sourceName="Sales Channel">
  <pivotTables>
    <pivotTable tabId="3" name="PT1_Table_Revenue_Sales"/>
    <pivotTable tabId="3" name="PT2_Total_Orders"/>
    <pivotTable tabId="3" name="PT3_TQ_Total_Quantity"/>
    <pivotTable tabId="3" name="PT4_Average_Order_Average"/>
    <pivotTable tabId="3" name="PT5_Revenue_by_Month"/>
    <pivotTable tabId="3" name="PT6_Revenue_by_Region"/>
    <pivotTable tabId="3" name="PT7_Revenue_by_Category"/>
    <pivotTable tabId="3" name="PT8_Revenue_by_Channel"/>
    <pivotTable tabId="3" name="PT9_Top_5_Products"/>
  </pivotTables>
  <data>
    <tabular pivotCacheId="199311402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B5EED0-3FE0-46D6-BFBA-CBCBEF946B6F}" cache="Slicer_Region" caption="Region" startItem="3" rowHeight="257175"/>
  <slicer name="Customer Type" xr10:uid="{602016F3-7924-4597-A781-F5922E07D4BA}" cache="Slicer_Customer_Type" caption="Customer Type" rowHeight="257175"/>
  <slicer name="Product Category" xr10:uid="{5A911140-563F-472A-A977-E7AC3116EB7E}" cache="Slicer_Product_Category" caption="Product Category" rowHeight="257175"/>
  <slicer name="Sales Channel" xr10:uid="{5D51A244-F25C-41BB-8609-EB186B4A7C30}" cache="Slicer_Sales_Channel" caption="Sales Channe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71BCD3-AB7C-46CC-910A-41B3FE13A384}" cache="Slicer_Region" caption="Region" rowHeight="257175"/>
  <slicer name="Customer Type 1" xr10:uid="{ADCCF278-0317-447E-B0EC-B1B16017DD65}" cache="Slicer_Customer_Type" caption="Customer Type" rowHeight="257175"/>
  <slicer name="Product Category 1" xr10:uid="{A18FF812-D22C-4A8D-902A-720B0573D973}" cache="Slicer_Product_Category" caption="Product Category" rowHeight="257175"/>
  <slicer name="Sales Channel 1" xr10:uid="{3B156EDC-CC05-4629-B80E-79578B163A8B}" cache="Slicer_Sales_Channel" caption="Sales Channel"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439521-181D-452A-BBBC-F49D52F456A1}" name="Sales_Data" displayName="Sales_Data" ref="A1:L2001" totalsRowShown="0">
  <autoFilter ref="A1:L2001" xr:uid="{D00E0ACA-D0F0-45EC-BE7C-BC2982E302BB}"/>
  <tableColumns count="12">
    <tableColumn id="1" xr3:uid="{E9C0B1B1-925B-47B2-AF24-CCED50E4B11E}" name="Order ID"/>
    <tableColumn id="2" xr3:uid="{5620A61A-F43F-4DE3-B949-F1E09E78A7C7}" name="Date" dataDxfId="4"/>
    <tableColumn id="3" xr3:uid="{6C8FA676-D6DE-4B74-BC1E-E49B6CF5ECDC}" name="Region"/>
    <tableColumn id="4" xr3:uid="{5264C9EF-C83A-42EE-AFAD-64859CD094A1}" name="Sales Channel"/>
    <tableColumn id="5" xr3:uid="{7BC8703A-E494-4A44-BC07-055E526D1C5D}" name="Customer Type"/>
    <tableColumn id="6" xr3:uid="{C945A1B0-3B8C-4EF2-82B4-23FBFC7D1484}" name="Product Category"/>
    <tableColumn id="7" xr3:uid="{76B16476-BDD7-46BE-8C45-2978B513C48C}" name="Product"/>
    <tableColumn id="8" xr3:uid="{E673E19D-DE02-45E1-A7EF-2759B98CF5A5}" name="Salesperson"/>
    <tableColumn id="9" xr3:uid="{CA4365C8-87CC-4EEB-A95E-962741E9B94E}" name="Quantity"/>
    <tableColumn id="10" xr3:uid="{D351C1CF-7E07-49EC-9FCF-F0780E225EB2}" name="Unit Price" dataDxfId="3"/>
    <tableColumn id="11" xr3:uid="{81B50141-0CFB-4578-82AF-6B3E76B05A3D}" name="Discount" dataDxfId="2" dataCellStyle="Percent"/>
    <tableColumn id="12" xr3:uid="{087977A8-CFCE-415F-ACF3-A3AAC6BEA992}" name="Revenue"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6482ED-B540-4C08-97D1-9B7900E9EBE5}" name="Table2" displayName="Table2" ref="A3:L481" totalsRowShown="0">
  <autoFilter ref="A3:L481" xr:uid="{3F6482ED-B540-4C08-97D1-9B7900E9EBE5}"/>
  <tableColumns count="12">
    <tableColumn id="1" xr3:uid="{730C5B6B-5D7E-4E4D-9D47-7C57E9246B23}" name="Order ID"/>
    <tableColumn id="2" xr3:uid="{A650BF3D-E241-43C2-AB9F-DE1A471B0D77}" name="Date" dataDxfId="0"/>
    <tableColumn id="3" xr3:uid="{DA5B796C-CDA6-4F70-83A1-597E43F97791}" name="Region"/>
    <tableColumn id="4" xr3:uid="{145CC24C-1D5E-4CD9-BABC-777651706A48}" name="Sales Channel"/>
    <tableColumn id="5" xr3:uid="{1E74AD40-C6DD-430F-8199-F45636A27F89}" name="Customer Type"/>
    <tableColumn id="6" xr3:uid="{01312178-F2A9-4A51-8E69-E8010B5382FD}" name="Product Category"/>
    <tableColumn id="7" xr3:uid="{CF1E7B67-F87D-4017-B20A-8A281846E8F8}" name="Product"/>
    <tableColumn id="8" xr3:uid="{B21C2CFF-7721-4BC4-BCD6-961C06BB9A87}" name="Salesperson"/>
    <tableColumn id="9" xr3:uid="{7BB5E172-3DEC-46E2-834A-D28B91569419}" name="Quantity"/>
    <tableColumn id="10" xr3:uid="{593A4E76-16B5-4E38-AEB6-2FF6625A960C}" name="Unit Price"/>
    <tableColumn id="11" xr3:uid="{595B25CA-5BC5-433E-A182-D619588E80D5}" name="Discount"/>
    <tableColumn id="12" xr3:uid="{CB937345-2E18-457D-8A9E-7966B6E981BB}"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1743C97-8BEF-4792-8494-7CC981B435AB}" sourceName="Date">
  <pivotTables>
    <pivotTable tabId="3" name="PT1_Table_Revenue_Sales"/>
    <pivotTable tabId="3" name="PT2_Total_Orders"/>
    <pivotTable tabId="3" name="PT3_TQ_Total_Quantity"/>
    <pivotTable tabId="3" name="PT4_Average_Order_Average"/>
    <pivotTable tabId="3" name="PT5_Revenue_by_Month"/>
    <pivotTable tabId="3" name="PT6_Revenue_by_Region"/>
    <pivotTable tabId="3" name="PT7_Revenue_by_Category"/>
    <pivotTable tabId="3" name="PT8_Revenue_by_Channel"/>
    <pivotTable tabId="3" name="PT9_Top_5_Products"/>
  </pivotTables>
  <state minimalRefreshVersion="6" lastRefreshVersion="6" pivotCacheId="199311402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BAE5040-1884-46CD-8759-6672EF353DD2}" cache="NativeTimeline_Date" caption="Years" level="0" selectionLevel="2" scrollPosition="2026-01-01T00:00:00"/>
  <timeline name="Date 1" xr10:uid="{B4927924-B709-4540-9EC8-9A9AA1D9B24E}" cache="NativeTimeline_Date" caption="Quarters" level="1" selectionLevel="2" scrollPosition="2026-01-01T00:00:00"/>
  <timeline name="Date 2" xr10:uid="{0AE054FE-7E86-4AA9-BA5A-860CFFFF6B05}" cache="NativeTimeline_Date" caption="Months" level="2" selectionLevel="2" scrollPosition="2027-05-19T00:00:00"/>
  <timeline name="Date 3" xr10:uid="{5A2DF471-0655-40B1-89D4-FC8072D02234}" cache="NativeTimeline_Date" caption="Days" level="3" selectionLevel="2" scrollPosition="2027-09-0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B8BF91CD-F941-451D-A400-3F4ED4579501}" cache="NativeTimeline_Date" caption="Years" level="0" selectionLevel="2" scrollPosition="2026-01-01T00:00:00"/>
  <timeline name="Date 5" xr10:uid="{44A4782D-7781-4736-80D0-9EEEB75A4980}" cache="NativeTimeline_Date" caption="Quarters" level="1" selectionLevel="2" scrollPosition="2026-01-01T00:00:00"/>
  <timeline name="Date 6" xr10:uid="{366F3BE5-0903-4EC1-87D2-F9E5B3257398}" cache="NativeTimeline_Date" caption="Days" level="3" selectionLevel="2" scrollPosition="2027-09-21T00:00:00"/>
  <timeline name="Date 7" xr10:uid="{D16FE243-2731-44B0-9CB5-C24439C09FD6}" cache="NativeTimeline_Date" caption="Months" level="2" selectionLevel="2" scrollPosition="2026-1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E0ACA-D0F0-45EC-BE7C-BC2982E302BB}">
  <dimension ref="A1:L2001"/>
  <sheetViews>
    <sheetView workbookViewId="0">
      <selection activeCell="B1" sqref="B1"/>
    </sheetView>
  </sheetViews>
  <sheetFormatPr defaultRowHeight="15"/>
  <cols>
    <col min="1" max="1" width="10.7109375" customWidth="1"/>
    <col min="2" max="2" width="10.42578125" bestFit="1" customWidth="1"/>
    <col min="3" max="3" width="9.42578125" customWidth="1"/>
    <col min="4" max="4" width="16" customWidth="1"/>
    <col min="5" max="5" width="16.85546875" customWidth="1"/>
    <col min="6" max="6" width="18.7109375" customWidth="1"/>
    <col min="7" max="7" width="18.7109375" bestFit="1" customWidth="1"/>
    <col min="8" max="8" width="14.28515625" customWidth="1"/>
    <col min="9" max="9" width="10.85546875" customWidth="1"/>
    <col min="10" max="10" width="11.85546875" customWidth="1"/>
    <col min="11" max="11" width="11.28515625" customWidth="1"/>
    <col min="12" max="12" width="11.140625"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B425-8329-4931-93D7-8845B5C8ED6A}">
  <dimension ref="B2:D11"/>
  <sheetViews>
    <sheetView workbookViewId="0">
      <selection activeCell="F9" sqref="F9"/>
    </sheetView>
  </sheetViews>
  <sheetFormatPr defaultRowHeight="15"/>
  <cols>
    <col min="2" max="2" width="28.140625" bestFit="1" customWidth="1"/>
    <col min="3" max="3" width="26.5703125" bestFit="1" customWidth="1"/>
    <col min="4" max="4" width="20.140625" bestFit="1" customWidth="1"/>
  </cols>
  <sheetData>
    <row r="2" spans="2:4">
      <c r="B2" t="s">
        <v>2072</v>
      </c>
      <c r="C2" t="s">
        <v>2073</v>
      </c>
      <c r="D2" t="s">
        <v>2074</v>
      </c>
    </row>
    <row r="3" spans="2:4">
      <c r="B3" t="s">
        <v>2075</v>
      </c>
      <c r="C3" t="s">
        <v>2075</v>
      </c>
      <c r="D3" t="s">
        <v>11</v>
      </c>
    </row>
    <row r="4" spans="2:4">
      <c r="B4" t="s">
        <v>2076</v>
      </c>
      <c r="C4" t="s">
        <v>2076</v>
      </c>
      <c r="D4" t="s">
        <v>2077</v>
      </c>
    </row>
    <row r="5" spans="2:4">
      <c r="B5" t="s">
        <v>2078</v>
      </c>
      <c r="C5" t="s">
        <v>2079</v>
      </c>
      <c r="D5" t="s">
        <v>8</v>
      </c>
    </row>
    <row r="6" spans="2:4">
      <c r="B6" t="s">
        <v>2080</v>
      </c>
      <c r="C6" t="s">
        <v>2080</v>
      </c>
      <c r="D6" t="s">
        <v>2081</v>
      </c>
    </row>
    <row r="7" spans="2:4">
      <c r="B7" t="s">
        <v>2082</v>
      </c>
      <c r="C7" t="s">
        <v>2083</v>
      </c>
      <c r="D7" t="s">
        <v>2084</v>
      </c>
    </row>
    <row r="8" spans="2:4">
      <c r="B8" t="s">
        <v>2085</v>
      </c>
      <c r="C8" t="s">
        <v>2086</v>
      </c>
      <c r="D8" t="s">
        <v>2087</v>
      </c>
    </row>
    <row r="9" spans="2:4">
      <c r="B9" t="s">
        <v>2089</v>
      </c>
      <c r="C9" t="s">
        <v>2090</v>
      </c>
      <c r="D9" t="s">
        <v>2088</v>
      </c>
    </row>
    <row r="10" spans="2:4">
      <c r="B10" t="s">
        <v>2091</v>
      </c>
      <c r="C10" t="s">
        <v>2092</v>
      </c>
      <c r="D10" t="s">
        <v>2093</v>
      </c>
    </row>
    <row r="11" spans="2:4">
      <c r="B11" t="s">
        <v>2096</v>
      </c>
      <c r="C11" t="s">
        <v>2094</v>
      </c>
      <c r="D11" t="s">
        <v>2095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BCDC-A56A-4BDE-864F-D588DAFFFC1D}">
  <dimension ref="A1:L481"/>
  <sheetViews>
    <sheetView workbookViewId="0">
      <selection activeCell="A3" sqref="A3:L481"/>
    </sheetView>
  </sheetViews>
  <sheetFormatPr defaultRowHeight="15"/>
  <cols>
    <col min="1" max="1" width="10.85546875" bestFit="1" customWidth="1"/>
    <col min="2" max="2" width="10.42578125" bestFit="1" customWidth="1"/>
    <col min="3" max="3" width="9.5703125" bestFit="1" customWidth="1"/>
    <col min="4" max="4" width="16.28515625" bestFit="1" customWidth="1"/>
    <col min="5" max="5" width="17.140625" bestFit="1" customWidth="1"/>
    <col min="6" max="6" width="19" bestFit="1" customWidth="1"/>
    <col min="7" max="7" width="18.7109375" bestFit="1" customWidth="1"/>
    <col min="8" max="8" width="14.42578125" bestFit="1" customWidth="1"/>
    <col min="9" max="9" width="11" bestFit="1" customWidth="1"/>
    <col min="10" max="10" width="12" bestFit="1" customWidth="1"/>
    <col min="11" max="11" width="11.42578125" bestFit="1" customWidth="1"/>
    <col min="12" max="12" width="11.28515625" bestFit="1" customWidth="1"/>
  </cols>
  <sheetData>
    <row r="1" spans="1:12">
      <c r="A1" s="24" t="s">
        <v>2123</v>
      </c>
    </row>
    <row r="3" spans="1:12">
      <c r="A3" t="s">
        <v>0</v>
      </c>
      <c r="B3" t="s">
        <v>1</v>
      </c>
      <c r="C3" t="s">
        <v>2</v>
      </c>
      <c r="D3" t="s">
        <v>3</v>
      </c>
      <c r="E3" t="s">
        <v>4</v>
      </c>
      <c r="F3" t="s">
        <v>5</v>
      </c>
      <c r="G3" t="s">
        <v>6</v>
      </c>
      <c r="H3" t="s">
        <v>7</v>
      </c>
      <c r="I3" t="s">
        <v>8</v>
      </c>
      <c r="J3" t="s">
        <v>9</v>
      </c>
      <c r="K3" t="s">
        <v>10</v>
      </c>
      <c r="L3" t="s">
        <v>11</v>
      </c>
    </row>
    <row r="4" spans="1:12">
      <c r="A4" t="s">
        <v>2068</v>
      </c>
      <c r="B4" s="1">
        <v>46241</v>
      </c>
      <c r="C4" t="s">
        <v>31</v>
      </c>
      <c r="D4" t="s">
        <v>41</v>
      </c>
      <c r="E4" t="s">
        <v>15</v>
      </c>
      <c r="F4" t="s">
        <v>73</v>
      </c>
      <c r="G4" t="s">
        <v>145</v>
      </c>
      <c r="H4" t="s">
        <v>33</v>
      </c>
      <c r="I4">
        <v>5</v>
      </c>
      <c r="J4">
        <v>18</v>
      </c>
      <c r="K4">
        <v>0.15</v>
      </c>
      <c r="L4">
        <v>76.5</v>
      </c>
    </row>
    <row r="5" spans="1:12">
      <c r="A5" t="s">
        <v>2063</v>
      </c>
      <c r="B5" s="1">
        <v>46059</v>
      </c>
      <c r="C5" t="s">
        <v>31</v>
      </c>
      <c r="D5" t="s">
        <v>14</v>
      </c>
      <c r="E5" t="s">
        <v>22</v>
      </c>
      <c r="F5" t="s">
        <v>60</v>
      </c>
      <c r="G5" t="s">
        <v>91</v>
      </c>
      <c r="H5" t="s">
        <v>39</v>
      </c>
      <c r="I5">
        <v>1</v>
      </c>
      <c r="J5">
        <v>580</v>
      </c>
      <c r="K5">
        <v>0.05</v>
      </c>
      <c r="L5">
        <v>551</v>
      </c>
    </row>
    <row r="6" spans="1:12">
      <c r="A6" t="s">
        <v>2058</v>
      </c>
      <c r="B6" s="1">
        <v>46048</v>
      </c>
      <c r="C6" t="s">
        <v>31</v>
      </c>
      <c r="D6" t="s">
        <v>21</v>
      </c>
      <c r="E6" t="s">
        <v>22</v>
      </c>
      <c r="F6" t="s">
        <v>73</v>
      </c>
      <c r="G6" t="s">
        <v>145</v>
      </c>
      <c r="H6" t="s">
        <v>33</v>
      </c>
      <c r="I6">
        <v>3</v>
      </c>
      <c r="J6">
        <v>18</v>
      </c>
      <c r="K6">
        <v>0.1</v>
      </c>
      <c r="L6">
        <v>48.6</v>
      </c>
    </row>
    <row r="7" spans="1:12">
      <c r="A7" t="s">
        <v>30</v>
      </c>
      <c r="B7" s="1">
        <v>46260</v>
      </c>
      <c r="C7" t="s">
        <v>31</v>
      </c>
      <c r="D7" t="s">
        <v>21</v>
      </c>
      <c r="E7" t="s">
        <v>15</v>
      </c>
      <c r="F7" t="s">
        <v>27</v>
      </c>
      <c r="G7" t="s">
        <v>32</v>
      </c>
      <c r="H7" t="s">
        <v>33</v>
      </c>
      <c r="I7">
        <v>5</v>
      </c>
      <c r="J7">
        <v>280</v>
      </c>
      <c r="K7">
        <v>0.05</v>
      </c>
      <c r="L7">
        <v>1330</v>
      </c>
    </row>
    <row r="8" spans="1:12">
      <c r="A8" t="s">
        <v>34</v>
      </c>
      <c r="B8" s="1">
        <v>46257</v>
      </c>
      <c r="C8" t="s">
        <v>31</v>
      </c>
      <c r="D8" t="s">
        <v>35</v>
      </c>
      <c r="E8" t="s">
        <v>22</v>
      </c>
      <c r="F8" t="s">
        <v>27</v>
      </c>
      <c r="G8" t="s">
        <v>36</v>
      </c>
      <c r="H8" t="s">
        <v>33</v>
      </c>
      <c r="I8">
        <v>6</v>
      </c>
      <c r="J8">
        <v>727.5</v>
      </c>
      <c r="K8">
        <v>0.05</v>
      </c>
      <c r="L8">
        <v>4146.75</v>
      </c>
    </row>
    <row r="9" spans="1:12">
      <c r="A9" t="s">
        <v>37</v>
      </c>
      <c r="B9" s="1">
        <v>46093</v>
      </c>
      <c r="C9" t="s">
        <v>31</v>
      </c>
      <c r="D9" t="s">
        <v>14</v>
      </c>
      <c r="E9" t="s">
        <v>22</v>
      </c>
      <c r="F9" t="s">
        <v>23</v>
      </c>
      <c r="G9" t="s">
        <v>38</v>
      </c>
      <c r="H9" t="s">
        <v>39</v>
      </c>
      <c r="I9">
        <v>1</v>
      </c>
      <c r="J9">
        <v>320</v>
      </c>
      <c r="K9">
        <v>0.05</v>
      </c>
      <c r="L9">
        <v>304</v>
      </c>
    </row>
    <row r="10" spans="1:12">
      <c r="A10" t="s">
        <v>2055</v>
      </c>
      <c r="B10" s="1">
        <v>46112</v>
      </c>
      <c r="C10" t="s">
        <v>31</v>
      </c>
      <c r="D10" t="s">
        <v>41</v>
      </c>
      <c r="E10" t="s">
        <v>15</v>
      </c>
      <c r="F10" t="s">
        <v>16</v>
      </c>
      <c r="G10" t="s">
        <v>17</v>
      </c>
      <c r="H10" t="s">
        <v>33</v>
      </c>
      <c r="I10">
        <v>2</v>
      </c>
      <c r="J10">
        <v>15.6</v>
      </c>
      <c r="K10">
        <v>0.1</v>
      </c>
      <c r="L10">
        <v>28.08</v>
      </c>
    </row>
    <row r="11" spans="1:12">
      <c r="A11" t="s">
        <v>44</v>
      </c>
      <c r="B11" s="1">
        <v>46337</v>
      </c>
      <c r="C11" t="s">
        <v>31</v>
      </c>
      <c r="D11" t="s">
        <v>21</v>
      </c>
      <c r="E11" t="s">
        <v>22</v>
      </c>
      <c r="F11" t="s">
        <v>23</v>
      </c>
      <c r="G11" t="s">
        <v>38</v>
      </c>
      <c r="H11" t="s">
        <v>39</v>
      </c>
      <c r="I11">
        <v>1</v>
      </c>
      <c r="J11">
        <v>320</v>
      </c>
      <c r="K11">
        <v>0.15</v>
      </c>
      <c r="L11">
        <v>272</v>
      </c>
    </row>
    <row r="12" spans="1:12">
      <c r="A12" t="s">
        <v>2053</v>
      </c>
      <c r="B12" s="1">
        <v>46287</v>
      </c>
      <c r="C12" t="s">
        <v>31</v>
      </c>
      <c r="D12" t="s">
        <v>14</v>
      </c>
      <c r="E12" t="s">
        <v>22</v>
      </c>
      <c r="F12" t="s">
        <v>48</v>
      </c>
      <c r="G12" t="s">
        <v>49</v>
      </c>
      <c r="H12" t="s">
        <v>79</v>
      </c>
      <c r="I12">
        <v>4</v>
      </c>
      <c r="J12">
        <v>4368</v>
      </c>
      <c r="K12">
        <v>0.15</v>
      </c>
      <c r="L12">
        <v>14851.199999999999</v>
      </c>
    </row>
    <row r="13" spans="1:12">
      <c r="A13" t="s">
        <v>2043</v>
      </c>
      <c r="B13" s="1">
        <v>46211</v>
      </c>
      <c r="C13" t="s">
        <v>31</v>
      </c>
      <c r="D13" t="s">
        <v>14</v>
      </c>
      <c r="E13" t="s">
        <v>15</v>
      </c>
      <c r="F13" t="s">
        <v>48</v>
      </c>
      <c r="G13" t="s">
        <v>71</v>
      </c>
      <c r="H13" t="s">
        <v>79</v>
      </c>
      <c r="I13">
        <v>1</v>
      </c>
      <c r="J13">
        <v>3040</v>
      </c>
      <c r="K13">
        <v>0</v>
      </c>
      <c r="L13">
        <v>3040</v>
      </c>
    </row>
    <row r="14" spans="1:12">
      <c r="A14" t="s">
        <v>2038</v>
      </c>
      <c r="B14" s="1">
        <v>46106</v>
      </c>
      <c r="C14" t="s">
        <v>31</v>
      </c>
      <c r="D14" t="s">
        <v>41</v>
      </c>
      <c r="E14" t="s">
        <v>22</v>
      </c>
      <c r="F14" t="s">
        <v>16</v>
      </c>
      <c r="G14" t="s">
        <v>42</v>
      </c>
      <c r="H14" t="s">
        <v>33</v>
      </c>
      <c r="I14">
        <v>3</v>
      </c>
      <c r="J14">
        <v>46.8</v>
      </c>
      <c r="K14">
        <v>0.1</v>
      </c>
      <c r="L14">
        <v>126.35999999999999</v>
      </c>
    </row>
    <row r="15" spans="1:12">
      <c r="A15" t="s">
        <v>2033</v>
      </c>
      <c r="B15" s="1">
        <v>46098</v>
      </c>
      <c r="C15" t="s">
        <v>31</v>
      </c>
      <c r="D15" t="s">
        <v>14</v>
      </c>
      <c r="E15" t="s">
        <v>22</v>
      </c>
      <c r="F15" t="s">
        <v>16</v>
      </c>
      <c r="G15" t="s">
        <v>65</v>
      </c>
      <c r="H15" t="s">
        <v>79</v>
      </c>
      <c r="I15">
        <v>3</v>
      </c>
      <c r="J15">
        <v>84.8</v>
      </c>
      <c r="K15">
        <v>0</v>
      </c>
      <c r="L15">
        <v>254.39999999999998</v>
      </c>
    </row>
    <row r="16" spans="1:12">
      <c r="A16" t="s">
        <v>2026</v>
      </c>
      <c r="B16" s="1">
        <v>46353</v>
      </c>
      <c r="C16" t="s">
        <v>31</v>
      </c>
      <c r="D16" t="s">
        <v>14</v>
      </c>
      <c r="E16" t="s">
        <v>15</v>
      </c>
      <c r="F16" t="s">
        <v>73</v>
      </c>
      <c r="G16" t="s">
        <v>129</v>
      </c>
      <c r="H16" t="s">
        <v>79</v>
      </c>
      <c r="I16">
        <v>1</v>
      </c>
      <c r="J16">
        <v>35</v>
      </c>
      <c r="K16">
        <v>0.15</v>
      </c>
      <c r="L16">
        <v>29.75</v>
      </c>
    </row>
    <row r="17" spans="1:12">
      <c r="A17" t="s">
        <v>2012</v>
      </c>
      <c r="B17" s="1">
        <v>46185</v>
      </c>
      <c r="C17" t="s">
        <v>31</v>
      </c>
      <c r="D17" t="s">
        <v>14</v>
      </c>
      <c r="E17" t="s">
        <v>22</v>
      </c>
      <c r="F17" t="s">
        <v>27</v>
      </c>
      <c r="G17" t="s">
        <v>28</v>
      </c>
      <c r="H17" t="s">
        <v>33</v>
      </c>
      <c r="I17">
        <v>3</v>
      </c>
      <c r="J17">
        <v>19</v>
      </c>
      <c r="K17">
        <v>0.08</v>
      </c>
      <c r="L17">
        <v>52.440000000000005</v>
      </c>
    </row>
    <row r="18" spans="1:12">
      <c r="A18" t="s">
        <v>2011</v>
      </c>
      <c r="B18" s="1">
        <v>46218</v>
      </c>
      <c r="C18" t="s">
        <v>31</v>
      </c>
      <c r="D18" t="s">
        <v>14</v>
      </c>
      <c r="E18" t="s">
        <v>22</v>
      </c>
      <c r="F18" t="s">
        <v>27</v>
      </c>
      <c r="G18" t="s">
        <v>36</v>
      </c>
      <c r="H18" t="s">
        <v>39</v>
      </c>
      <c r="I18">
        <v>3</v>
      </c>
      <c r="J18">
        <v>750</v>
      </c>
      <c r="K18">
        <v>0.2</v>
      </c>
      <c r="L18">
        <v>1800</v>
      </c>
    </row>
    <row r="19" spans="1:12">
      <c r="A19" t="s">
        <v>2010</v>
      </c>
      <c r="B19" s="1">
        <v>46055</v>
      </c>
      <c r="C19" t="s">
        <v>31</v>
      </c>
      <c r="D19" t="s">
        <v>21</v>
      </c>
      <c r="E19" t="s">
        <v>15</v>
      </c>
      <c r="F19" t="s">
        <v>48</v>
      </c>
      <c r="G19" t="s">
        <v>49</v>
      </c>
      <c r="H19" t="s">
        <v>79</v>
      </c>
      <c r="I19">
        <v>1</v>
      </c>
      <c r="J19">
        <v>3990</v>
      </c>
      <c r="K19">
        <v>0</v>
      </c>
      <c r="L19">
        <v>3990</v>
      </c>
    </row>
    <row r="20" spans="1:12">
      <c r="A20" t="s">
        <v>66</v>
      </c>
      <c r="B20" s="1">
        <v>46273</v>
      </c>
      <c r="C20" t="s">
        <v>31</v>
      </c>
      <c r="D20" t="s">
        <v>14</v>
      </c>
      <c r="E20" t="s">
        <v>15</v>
      </c>
      <c r="F20" t="s">
        <v>60</v>
      </c>
      <c r="G20" t="s">
        <v>67</v>
      </c>
      <c r="H20" t="s">
        <v>39</v>
      </c>
      <c r="I20">
        <v>1</v>
      </c>
      <c r="J20">
        <v>1590</v>
      </c>
      <c r="K20">
        <v>0</v>
      </c>
      <c r="L20">
        <v>1590</v>
      </c>
    </row>
    <row r="21" spans="1:12">
      <c r="A21" t="s">
        <v>2008</v>
      </c>
      <c r="B21" s="1">
        <v>46157</v>
      </c>
      <c r="C21" t="s">
        <v>31</v>
      </c>
      <c r="D21" t="s">
        <v>14</v>
      </c>
      <c r="E21" t="s">
        <v>15</v>
      </c>
      <c r="F21" t="s">
        <v>16</v>
      </c>
      <c r="G21" t="s">
        <v>65</v>
      </c>
      <c r="H21" t="s">
        <v>39</v>
      </c>
      <c r="I21">
        <v>3</v>
      </c>
      <c r="J21">
        <v>80</v>
      </c>
      <c r="K21">
        <v>0.03</v>
      </c>
      <c r="L21">
        <v>232.79999999999998</v>
      </c>
    </row>
    <row r="22" spans="1:12">
      <c r="A22" t="s">
        <v>2001</v>
      </c>
      <c r="B22" s="1">
        <v>46225</v>
      </c>
      <c r="C22" t="s">
        <v>31</v>
      </c>
      <c r="D22" t="s">
        <v>21</v>
      </c>
      <c r="E22" t="s">
        <v>22</v>
      </c>
      <c r="F22" t="s">
        <v>73</v>
      </c>
      <c r="G22" t="s">
        <v>81</v>
      </c>
      <c r="H22" t="s">
        <v>79</v>
      </c>
      <c r="I22">
        <v>1</v>
      </c>
      <c r="J22">
        <v>12.72</v>
      </c>
      <c r="K22">
        <v>0</v>
      </c>
      <c r="L22">
        <v>12.72</v>
      </c>
    </row>
    <row r="23" spans="1:12">
      <c r="A23" t="s">
        <v>1992</v>
      </c>
      <c r="B23" s="1">
        <v>46063</v>
      </c>
      <c r="C23" t="s">
        <v>31</v>
      </c>
      <c r="D23" t="s">
        <v>21</v>
      </c>
      <c r="E23" t="s">
        <v>22</v>
      </c>
      <c r="F23" t="s">
        <v>73</v>
      </c>
      <c r="G23" t="s">
        <v>81</v>
      </c>
      <c r="H23" t="s">
        <v>79</v>
      </c>
      <c r="I23">
        <v>3</v>
      </c>
      <c r="J23">
        <v>12.48</v>
      </c>
      <c r="K23">
        <v>0.1</v>
      </c>
      <c r="L23">
        <v>33.695999999999998</v>
      </c>
    </row>
    <row r="24" spans="1:12">
      <c r="A24" t="s">
        <v>1990</v>
      </c>
      <c r="B24" s="1">
        <v>46270</v>
      </c>
      <c r="C24" t="s">
        <v>31</v>
      </c>
      <c r="D24" t="s">
        <v>14</v>
      </c>
      <c r="E24" t="s">
        <v>15</v>
      </c>
      <c r="F24" t="s">
        <v>16</v>
      </c>
      <c r="G24" t="s">
        <v>65</v>
      </c>
      <c r="H24" t="s">
        <v>39</v>
      </c>
      <c r="I24">
        <v>2</v>
      </c>
      <c r="J24">
        <v>80</v>
      </c>
      <c r="K24">
        <v>0</v>
      </c>
      <c r="L24">
        <v>160</v>
      </c>
    </row>
    <row r="25" spans="1:12">
      <c r="A25" t="s">
        <v>1989</v>
      </c>
      <c r="B25" s="1">
        <v>46359</v>
      </c>
      <c r="C25" t="s">
        <v>31</v>
      </c>
      <c r="D25" t="s">
        <v>21</v>
      </c>
      <c r="E25" t="s">
        <v>22</v>
      </c>
      <c r="F25" t="s">
        <v>27</v>
      </c>
      <c r="G25" t="s">
        <v>28</v>
      </c>
      <c r="H25" t="s">
        <v>39</v>
      </c>
      <c r="I25">
        <v>2</v>
      </c>
      <c r="J25">
        <v>20.8</v>
      </c>
      <c r="K25">
        <v>0.08</v>
      </c>
      <c r="L25">
        <v>38.272000000000006</v>
      </c>
    </row>
    <row r="26" spans="1:12">
      <c r="A26" t="s">
        <v>78</v>
      </c>
      <c r="B26" s="1">
        <v>46252</v>
      </c>
      <c r="C26" t="s">
        <v>31</v>
      </c>
      <c r="D26" t="s">
        <v>14</v>
      </c>
      <c r="E26" t="s">
        <v>15</v>
      </c>
      <c r="F26" t="s">
        <v>60</v>
      </c>
      <c r="G26" t="s">
        <v>61</v>
      </c>
      <c r="H26" t="s">
        <v>79</v>
      </c>
      <c r="I26">
        <v>4</v>
      </c>
      <c r="J26">
        <v>807.5</v>
      </c>
      <c r="K26">
        <v>0</v>
      </c>
      <c r="L26">
        <v>3230</v>
      </c>
    </row>
    <row r="27" spans="1:12">
      <c r="A27" t="s">
        <v>1982</v>
      </c>
      <c r="B27" s="1">
        <v>46085</v>
      </c>
      <c r="C27" t="s">
        <v>31</v>
      </c>
      <c r="D27" t="s">
        <v>41</v>
      </c>
      <c r="E27" t="s">
        <v>15</v>
      </c>
      <c r="F27" t="s">
        <v>27</v>
      </c>
      <c r="G27" t="s">
        <v>28</v>
      </c>
      <c r="H27" t="s">
        <v>79</v>
      </c>
      <c r="I27">
        <v>5</v>
      </c>
      <c r="J27">
        <v>20.8</v>
      </c>
      <c r="K27">
        <v>0.2</v>
      </c>
      <c r="L27">
        <v>83.2</v>
      </c>
    </row>
    <row r="28" spans="1:12">
      <c r="A28" t="s">
        <v>1981</v>
      </c>
      <c r="B28" s="1">
        <v>46271</v>
      </c>
      <c r="C28" t="s">
        <v>31</v>
      </c>
      <c r="D28" t="s">
        <v>14</v>
      </c>
      <c r="E28" t="s">
        <v>22</v>
      </c>
      <c r="F28" t="s">
        <v>48</v>
      </c>
      <c r="G28" t="s">
        <v>71</v>
      </c>
      <c r="H28" t="s">
        <v>33</v>
      </c>
      <c r="I28">
        <v>2</v>
      </c>
      <c r="J28">
        <v>3392</v>
      </c>
      <c r="K28">
        <v>0.08</v>
      </c>
      <c r="L28">
        <v>6241.2800000000007</v>
      </c>
    </row>
    <row r="29" spans="1:12">
      <c r="A29" t="s">
        <v>84</v>
      </c>
      <c r="B29" s="1">
        <v>46386</v>
      </c>
      <c r="C29" t="s">
        <v>31</v>
      </c>
      <c r="D29" t="s">
        <v>21</v>
      </c>
      <c r="E29" t="s">
        <v>22</v>
      </c>
      <c r="F29" t="s">
        <v>27</v>
      </c>
      <c r="G29" t="s">
        <v>32</v>
      </c>
      <c r="H29" t="s">
        <v>33</v>
      </c>
      <c r="I29">
        <v>3</v>
      </c>
      <c r="J29">
        <v>280</v>
      </c>
      <c r="K29">
        <v>0.03</v>
      </c>
      <c r="L29">
        <v>814.8</v>
      </c>
    </row>
    <row r="30" spans="1:12">
      <c r="A30" t="s">
        <v>1980</v>
      </c>
      <c r="B30" s="1">
        <v>46061</v>
      </c>
      <c r="C30" t="s">
        <v>31</v>
      </c>
      <c r="D30" t="s">
        <v>41</v>
      </c>
      <c r="E30" t="s">
        <v>22</v>
      </c>
      <c r="F30" t="s">
        <v>16</v>
      </c>
      <c r="G30" t="s">
        <v>69</v>
      </c>
      <c r="H30" t="s">
        <v>79</v>
      </c>
      <c r="I30">
        <v>3</v>
      </c>
      <c r="J30">
        <v>55</v>
      </c>
      <c r="K30">
        <v>0</v>
      </c>
      <c r="L30">
        <v>165</v>
      </c>
    </row>
    <row r="31" spans="1:12">
      <c r="A31" t="s">
        <v>1978</v>
      </c>
      <c r="B31" s="1">
        <v>46271</v>
      </c>
      <c r="C31" t="s">
        <v>31</v>
      </c>
      <c r="D31" t="s">
        <v>41</v>
      </c>
      <c r="E31" t="s">
        <v>22</v>
      </c>
      <c r="F31" t="s">
        <v>16</v>
      </c>
      <c r="G31" t="s">
        <v>57</v>
      </c>
      <c r="H31" t="s">
        <v>39</v>
      </c>
      <c r="I31">
        <v>2</v>
      </c>
      <c r="J31">
        <v>38</v>
      </c>
      <c r="K31">
        <v>0.15</v>
      </c>
      <c r="L31">
        <v>64.599999999999994</v>
      </c>
    </row>
    <row r="32" spans="1:12">
      <c r="A32" t="s">
        <v>1970</v>
      </c>
      <c r="B32" s="1">
        <v>46285</v>
      </c>
      <c r="C32" t="s">
        <v>31</v>
      </c>
      <c r="D32" t="s">
        <v>41</v>
      </c>
      <c r="E32" t="s">
        <v>22</v>
      </c>
      <c r="F32" t="s">
        <v>16</v>
      </c>
      <c r="G32" t="s">
        <v>65</v>
      </c>
      <c r="H32" t="s">
        <v>79</v>
      </c>
      <c r="I32">
        <v>7</v>
      </c>
      <c r="J32">
        <v>83.2</v>
      </c>
      <c r="K32">
        <v>0.03</v>
      </c>
      <c r="L32">
        <v>564.928</v>
      </c>
    </row>
    <row r="33" spans="1:12">
      <c r="A33" t="s">
        <v>90</v>
      </c>
      <c r="B33" s="1">
        <v>46274</v>
      </c>
      <c r="C33" t="s">
        <v>31</v>
      </c>
      <c r="D33" t="s">
        <v>21</v>
      </c>
      <c r="E33" t="s">
        <v>22</v>
      </c>
      <c r="F33" t="s">
        <v>60</v>
      </c>
      <c r="G33" t="s">
        <v>91</v>
      </c>
      <c r="H33" t="s">
        <v>79</v>
      </c>
      <c r="I33">
        <v>4</v>
      </c>
      <c r="J33">
        <v>562.6</v>
      </c>
      <c r="K33">
        <v>0.08</v>
      </c>
      <c r="L33">
        <v>2070.3680000000004</v>
      </c>
    </row>
    <row r="34" spans="1:12">
      <c r="A34" t="s">
        <v>1967</v>
      </c>
      <c r="B34" s="1">
        <v>46119</v>
      </c>
      <c r="C34" t="s">
        <v>31</v>
      </c>
      <c r="D34" t="s">
        <v>41</v>
      </c>
      <c r="E34" t="s">
        <v>22</v>
      </c>
      <c r="F34" t="s">
        <v>27</v>
      </c>
      <c r="G34" t="s">
        <v>32</v>
      </c>
      <c r="H34" t="s">
        <v>33</v>
      </c>
      <c r="I34">
        <v>4</v>
      </c>
      <c r="J34">
        <v>271.60000000000002</v>
      </c>
      <c r="K34">
        <v>0.15</v>
      </c>
      <c r="L34">
        <v>923.44</v>
      </c>
    </row>
    <row r="35" spans="1:12">
      <c r="A35" t="s">
        <v>1964</v>
      </c>
      <c r="B35" s="1">
        <v>46260</v>
      </c>
      <c r="C35" t="s">
        <v>31</v>
      </c>
      <c r="D35" t="s">
        <v>14</v>
      </c>
      <c r="E35" t="s">
        <v>22</v>
      </c>
      <c r="F35" t="s">
        <v>23</v>
      </c>
      <c r="G35" t="s">
        <v>24</v>
      </c>
      <c r="H35" t="s">
        <v>39</v>
      </c>
      <c r="I35">
        <v>2</v>
      </c>
      <c r="J35">
        <v>95.4</v>
      </c>
      <c r="K35">
        <v>0.08</v>
      </c>
      <c r="L35">
        <v>175.53600000000003</v>
      </c>
    </row>
    <row r="36" spans="1:12">
      <c r="A36" t="s">
        <v>95</v>
      </c>
      <c r="B36" s="1">
        <v>46327</v>
      </c>
      <c r="C36" t="s">
        <v>31</v>
      </c>
      <c r="D36" t="s">
        <v>41</v>
      </c>
      <c r="E36" t="s">
        <v>22</v>
      </c>
      <c r="F36" t="s">
        <v>48</v>
      </c>
      <c r="G36" t="s">
        <v>96</v>
      </c>
      <c r="H36" t="s">
        <v>33</v>
      </c>
      <c r="I36">
        <v>1</v>
      </c>
      <c r="J36">
        <v>2500</v>
      </c>
      <c r="K36">
        <v>0.1</v>
      </c>
      <c r="L36">
        <v>2250</v>
      </c>
    </row>
    <row r="37" spans="1:12">
      <c r="A37" t="s">
        <v>1962</v>
      </c>
      <c r="B37" s="1">
        <v>46358</v>
      </c>
      <c r="C37" t="s">
        <v>31</v>
      </c>
      <c r="D37" t="s">
        <v>21</v>
      </c>
      <c r="E37" t="s">
        <v>15</v>
      </c>
      <c r="F37" t="s">
        <v>60</v>
      </c>
      <c r="G37" t="s">
        <v>61</v>
      </c>
      <c r="H37" t="s">
        <v>79</v>
      </c>
      <c r="I37">
        <v>1</v>
      </c>
      <c r="J37">
        <v>807.5</v>
      </c>
      <c r="K37">
        <v>0.08</v>
      </c>
      <c r="L37">
        <v>742.9</v>
      </c>
    </row>
    <row r="38" spans="1:12">
      <c r="A38" t="s">
        <v>1956</v>
      </c>
      <c r="B38" s="1">
        <v>46181</v>
      </c>
      <c r="C38" t="s">
        <v>31</v>
      </c>
      <c r="D38" t="s">
        <v>14</v>
      </c>
      <c r="E38" t="s">
        <v>22</v>
      </c>
      <c r="F38" t="s">
        <v>23</v>
      </c>
      <c r="G38" t="s">
        <v>138</v>
      </c>
      <c r="H38" t="s">
        <v>33</v>
      </c>
      <c r="I38">
        <v>7</v>
      </c>
      <c r="J38">
        <v>61.2</v>
      </c>
      <c r="K38">
        <v>0.2</v>
      </c>
      <c r="L38">
        <v>342.72</v>
      </c>
    </row>
    <row r="39" spans="1:12">
      <c r="A39" t="s">
        <v>1952</v>
      </c>
      <c r="B39" s="1">
        <v>46299</v>
      </c>
      <c r="C39" t="s">
        <v>31</v>
      </c>
      <c r="D39" t="s">
        <v>14</v>
      </c>
      <c r="E39" t="s">
        <v>22</v>
      </c>
      <c r="F39" t="s">
        <v>16</v>
      </c>
      <c r="G39" t="s">
        <v>65</v>
      </c>
      <c r="H39" t="s">
        <v>33</v>
      </c>
      <c r="I39">
        <v>5</v>
      </c>
      <c r="J39">
        <v>80</v>
      </c>
      <c r="K39">
        <v>0.2</v>
      </c>
      <c r="L39">
        <v>320</v>
      </c>
    </row>
    <row r="40" spans="1:12">
      <c r="A40" t="s">
        <v>1951</v>
      </c>
      <c r="B40" s="1">
        <v>46228</v>
      </c>
      <c r="C40" t="s">
        <v>31</v>
      </c>
      <c r="D40" t="s">
        <v>35</v>
      </c>
      <c r="E40" t="s">
        <v>22</v>
      </c>
      <c r="F40" t="s">
        <v>16</v>
      </c>
      <c r="G40" t="s">
        <v>17</v>
      </c>
      <c r="H40" t="s">
        <v>79</v>
      </c>
      <c r="I40">
        <v>4</v>
      </c>
      <c r="J40">
        <v>15.3</v>
      </c>
      <c r="K40">
        <v>0.1</v>
      </c>
      <c r="L40">
        <v>55.080000000000005</v>
      </c>
    </row>
    <row r="41" spans="1:12">
      <c r="A41" t="s">
        <v>1945</v>
      </c>
      <c r="B41" s="1">
        <v>46353</v>
      </c>
      <c r="C41" t="s">
        <v>31</v>
      </c>
      <c r="D41" t="s">
        <v>14</v>
      </c>
      <c r="E41" t="s">
        <v>22</v>
      </c>
      <c r="F41" t="s">
        <v>16</v>
      </c>
      <c r="G41" t="s">
        <v>65</v>
      </c>
      <c r="H41" t="s">
        <v>33</v>
      </c>
      <c r="I41">
        <v>6</v>
      </c>
      <c r="J41">
        <v>84.8</v>
      </c>
      <c r="K41">
        <v>0.08</v>
      </c>
      <c r="L41">
        <v>468.096</v>
      </c>
    </row>
    <row r="42" spans="1:12">
      <c r="A42" t="s">
        <v>1941</v>
      </c>
      <c r="B42" s="1">
        <v>46192</v>
      </c>
      <c r="C42" t="s">
        <v>31</v>
      </c>
      <c r="D42" t="s">
        <v>41</v>
      </c>
      <c r="E42" t="s">
        <v>22</v>
      </c>
      <c r="F42" t="s">
        <v>23</v>
      </c>
      <c r="G42" t="s">
        <v>138</v>
      </c>
      <c r="H42" t="s">
        <v>39</v>
      </c>
      <c r="I42">
        <v>1</v>
      </c>
      <c r="J42">
        <v>60</v>
      </c>
      <c r="K42">
        <v>0.03</v>
      </c>
      <c r="L42">
        <v>58.199999999999996</v>
      </c>
    </row>
    <row r="43" spans="1:12">
      <c r="A43" t="s">
        <v>1937</v>
      </c>
      <c r="B43" s="1">
        <v>46164</v>
      </c>
      <c r="C43" t="s">
        <v>31</v>
      </c>
      <c r="D43" t="s">
        <v>14</v>
      </c>
      <c r="E43" t="s">
        <v>15</v>
      </c>
      <c r="F43" t="s">
        <v>73</v>
      </c>
      <c r="G43" t="s">
        <v>74</v>
      </c>
      <c r="H43" t="s">
        <v>79</v>
      </c>
      <c r="I43">
        <v>1</v>
      </c>
      <c r="J43">
        <v>7.6</v>
      </c>
      <c r="K43">
        <v>0.05</v>
      </c>
      <c r="L43">
        <v>7.22</v>
      </c>
    </row>
    <row r="44" spans="1:12">
      <c r="A44" t="s">
        <v>1934</v>
      </c>
      <c r="B44" s="1">
        <v>46211</v>
      </c>
      <c r="C44" t="s">
        <v>31</v>
      </c>
      <c r="D44" t="s">
        <v>21</v>
      </c>
      <c r="E44" t="s">
        <v>22</v>
      </c>
      <c r="F44" t="s">
        <v>73</v>
      </c>
      <c r="G44" t="s">
        <v>127</v>
      </c>
      <c r="H44" t="s">
        <v>39</v>
      </c>
      <c r="I44">
        <v>1</v>
      </c>
      <c r="J44">
        <v>25</v>
      </c>
      <c r="K44">
        <v>0.08</v>
      </c>
      <c r="L44">
        <v>23</v>
      </c>
    </row>
    <row r="45" spans="1:12">
      <c r="A45" t="s">
        <v>1930</v>
      </c>
      <c r="B45" s="1">
        <v>46277</v>
      </c>
      <c r="C45" t="s">
        <v>31</v>
      </c>
      <c r="D45" t="s">
        <v>41</v>
      </c>
      <c r="E45" t="s">
        <v>15</v>
      </c>
      <c r="F45" t="s">
        <v>16</v>
      </c>
      <c r="G45" t="s">
        <v>65</v>
      </c>
      <c r="H45" t="s">
        <v>33</v>
      </c>
      <c r="I45">
        <v>2</v>
      </c>
      <c r="J45">
        <v>81.599999999999994</v>
      </c>
      <c r="K45">
        <v>0.08</v>
      </c>
      <c r="L45">
        <v>150.14400000000001</v>
      </c>
    </row>
    <row r="46" spans="1:12">
      <c r="A46" t="s">
        <v>1926</v>
      </c>
      <c r="B46" s="1">
        <v>46353</v>
      </c>
      <c r="C46" t="s">
        <v>31</v>
      </c>
      <c r="D46" t="s">
        <v>14</v>
      </c>
      <c r="E46" t="s">
        <v>15</v>
      </c>
      <c r="F46" t="s">
        <v>73</v>
      </c>
      <c r="G46" t="s">
        <v>81</v>
      </c>
      <c r="H46" t="s">
        <v>79</v>
      </c>
      <c r="I46">
        <v>2</v>
      </c>
      <c r="J46">
        <v>12</v>
      </c>
      <c r="K46">
        <v>0.05</v>
      </c>
      <c r="L46">
        <v>22.799999999999997</v>
      </c>
    </row>
    <row r="47" spans="1:12">
      <c r="A47" t="s">
        <v>1924</v>
      </c>
      <c r="B47" s="1">
        <v>46109</v>
      </c>
      <c r="C47" t="s">
        <v>31</v>
      </c>
      <c r="D47" t="s">
        <v>21</v>
      </c>
      <c r="E47" t="s">
        <v>15</v>
      </c>
      <c r="F47" t="s">
        <v>16</v>
      </c>
      <c r="G47" t="s">
        <v>17</v>
      </c>
      <c r="H47" t="s">
        <v>33</v>
      </c>
      <c r="I47">
        <v>2</v>
      </c>
      <c r="J47">
        <v>15</v>
      </c>
      <c r="K47">
        <v>0</v>
      </c>
      <c r="L47">
        <v>30</v>
      </c>
    </row>
    <row r="48" spans="1:12">
      <c r="A48" t="s">
        <v>1923</v>
      </c>
      <c r="B48" s="1">
        <v>46300</v>
      </c>
      <c r="C48" t="s">
        <v>31</v>
      </c>
      <c r="D48" t="s">
        <v>41</v>
      </c>
      <c r="E48" t="s">
        <v>22</v>
      </c>
      <c r="F48" t="s">
        <v>48</v>
      </c>
      <c r="G48" t="s">
        <v>49</v>
      </c>
      <c r="H48" t="s">
        <v>79</v>
      </c>
      <c r="I48">
        <v>1</v>
      </c>
      <c r="J48">
        <v>4200</v>
      </c>
      <c r="K48">
        <v>0.05</v>
      </c>
      <c r="L48">
        <v>3990</v>
      </c>
    </row>
    <row r="49" spans="1:12">
      <c r="A49" t="s">
        <v>1921</v>
      </c>
      <c r="B49" s="1">
        <v>46165</v>
      </c>
      <c r="C49" t="s">
        <v>31</v>
      </c>
      <c r="D49" t="s">
        <v>14</v>
      </c>
      <c r="E49" t="s">
        <v>22</v>
      </c>
      <c r="F49" t="s">
        <v>48</v>
      </c>
      <c r="G49" t="s">
        <v>54</v>
      </c>
      <c r="H49" t="s">
        <v>33</v>
      </c>
      <c r="I49">
        <v>1</v>
      </c>
      <c r="J49">
        <v>1800</v>
      </c>
      <c r="K49">
        <v>0.15</v>
      </c>
      <c r="L49">
        <v>1530</v>
      </c>
    </row>
    <row r="50" spans="1:12">
      <c r="A50" t="s">
        <v>1920</v>
      </c>
      <c r="B50" s="1">
        <v>46377</v>
      </c>
      <c r="C50" t="s">
        <v>31</v>
      </c>
      <c r="D50" t="s">
        <v>21</v>
      </c>
      <c r="E50" t="s">
        <v>22</v>
      </c>
      <c r="F50" t="s">
        <v>23</v>
      </c>
      <c r="G50" t="s">
        <v>52</v>
      </c>
      <c r="H50" t="s">
        <v>33</v>
      </c>
      <c r="I50">
        <v>1</v>
      </c>
      <c r="J50">
        <v>427.5</v>
      </c>
      <c r="K50">
        <v>0.15</v>
      </c>
      <c r="L50">
        <v>363.375</v>
      </c>
    </row>
    <row r="51" spans="1:12">
      <c r="A51" t="s">
        <v>1913</v>
      </c>
      <c r="B51" s="1">
        <v>46123</v>
      </c>
      <c r="C51" t="s">
        <v>31</v>
      </c>
      <c r="D51" t="s">
        <v>21</v>
      </c>
      <c r="E51" t="s">
        <v>22</v>
      </c>
      <c r="F51" t="s">
        <v>60</v>
      </c>
      <c r="G51" t="s">
        <v>76</v>
      </c>
      <c r="H51" t="s">
        <v>79</v>
      </c>
      <c r="I51">
        <v>1</v>
      </c>
      <c r="J51">
        <v>665</v>
      </c>
      <c r="K51">
        <v>0</v>
      </c>
      <c r="L51">
        <v>665</v>
      </c>
    </row>
    <row r="52" spans="1:12">
      <c r="A52" t="s">
        <v>1909</v>
      </c>
      <c r="B52" s="1">
        <v>46254</v>
      </c>
      <c r="C52" t="s">
        <v>31</v>
      </c>
      <c r="D52" t="s">
        <v>14</v>
      </c>
      <c r="E52" t="s">
        <v>22</v>
      </c>
      <c r="F52" t="s">
        <v>23</v>
      </c>
      <c r="G52" t="s">
        <v>24</v>
      </c>
      <c r="H52" t="s">
        <v>79</v>
      </c>
      <c r="I52">
        <v>3</v>
      </c>
      <c r="J52">
        <v>93.6</v>
      </c>
      <c r="K52">
        <v>0.2</v>
      </c>
      <c r="L52">
        <v>224.64</v>
      </c>
    </row>
    <row r="53" spans="1:12">
      <c r="A53" t="s">
        <v>1896</v>
      </c>
      <c r="B53" s="1">
        <v>46043</v>
      </c>
      <c r="C53" t="s">
        <v>31</v>
      </c>
      <c r="D53" t="s">
        <v>41</v>
      </c>
      <c r="E53" t="s">
        <v>15</v>
      </c>
      <c r="F53" t="s">
        <v>73</v>
      </c>
      <c r="G53" t="s">
        <v>81</v>
      </c>
      <c r="H53" t="s">
        <v>79</v>
      </c>
      <c r="I53">
        <v>6</v>
      </c>
      <c r="J53">
        <v>11.4</v>
      </c>
      <c r="K53">
        <v>0.08</v>
      </c>
      <c r="L53">
        <v>62.928000000000011</v>
      </c>
    </row>
    <row r="54" spans="1:12">
      <c r="A54" t="s">
        <v>1895</v>
      </c>
      <c r="B54" s="1">
        <v>46082</v>
      </c>
      <c r="C54" t="s">
        <v>31</v>
      </c>
      <c r="D54" t="s">
        <v>14</v>
      </c>
      <c r="E54" t="s">
        <v>15</v>
      </c>
      <c r="F54" t="s">
        <v>16</v>
      </c>
      <c r="G54" t="s">
        <v>57</v>
      </c>
      <c r="H54" t="s">
        <v>79</v>
      </c>
      <c r="I54">
        <v>3</v>
      </c>
      <c r="J54">
        <v>38</v>
      </c>
      <c r="K54">
        <v>0</v>
      </c>
      <c r="L54">
        <v>114</v>
      </c>
    </row>
    <row r="55" spans="1:12">
      <c r="A55" t="s">
        <v>1894</v>
      </c>
      <c r="B55" s="1">
        <v>46104</v>
      </c>
      <c r="C55" t="s">
        <v>31</v>
      </c>
      <c r="D55" t="s">
        <v>35</v>
      </c>
      <c r="E55" t="s">
        <v>15</v>
      </c>
      <c r="F55" t="s">
        <v>48</v>
      </c>
      <c r="G55" t="s">
        <v>49</v>
      </c>
      <c r="H55" t="s">
        <v>39</v>
      </c>
      <c r="I55">
        <v>1</v>
      </c>
      <c r="J55">
        <v>4368</v>
      </c>
      <c r="K55">
        <v>0.1</v>
      </c>
      <c r="L55">
        <v>3931.2000000000003</v>
      </c>
    </row>
    <row r="56" spans="1:12">
      <c r="A56" t="s">
        <v>1892</v>
      </c>
      <c r="B56" s="1">
        <v>46145</v>
      </c>
      <c r="C56" t="s">
        <v>31</v>
      </c>
      <c r="D56" t="s">
        <v>14</v>
      </c>
      <c r="E56" t="s">
        <v>15</v>
      </c>
      <c r="F56" t="s">
        <v>16</v>
      </c>
      <c r="G56" t="s">
        <v>42</v>
      </c>
      <c r="H56" t="s">
        <v>39</v>
      </c>
      <c r="I56">
        <v>4</v>
      </c>
      <c r="J56">
        <v>45</v>
      </c>
      <c r="K56">
        <v>0.15</v>
      </c>
      <c r="L56">
        <v>153</v>
      </c>
    </row>
    <row r="57" spans="1:12">
      <c r="A57" t="s">
        <v>1889</v>
      </c>
      <c r="B57" s="1">
        <v>46381</v>
      </c>
      <c r="C57" t="s">
        <v>31</v>
      </c>
      <c r="D57" t="s">
        <v>41</v>
      </c>
      <c r="E57" t="s">
        <v>15</v>
      </c>
      <c r="F57" t="s">
        <v>73</v>
      </c>
      <c r="G57" t="s">
        <v>81</v>
      </c>
      <c r="H57" t="s">
        <v>79</v>
      </c>
      <c r="I57">
        <v>2</v>
      </c>
      <c r="J57">
        <v>12.72</v>
      </c>
      <c r="K57">
        <v>0.08</v>
      </c>
      <c r="L57">
        <v>23.404800000000002</v>
      </c>
    </row>
    <row r="58" spans="1:12">
      <c r="A58" t="s">
        <v>1885</v>
      </c>
      <c r="B58" s="1">
        <v>46129</v>
      </c>
      <c r="C58" t="s">
        <v>31</v>
      </c>
      <c r="D58" t="s">
        <v>35</v>
      </c>
      <c r="E58" t="s">
        <v>15</v>
      </c>
      <c r="F58" t="s">
        <v>48</v>
      </c>
      <c r="G58" t="s">
        <v>71</v>
      </c>
      <c r="H58" t="s">
        <v>79</v>
      </c>
      <c r="I58">
        <v>1</v>
      </c>
      <c r="J58">
        <v>3200</v>
      </c>
      <c r="K58">
        <v>0.1</v>
      </c>
      <c r="L58">
        <v>2880</v>
      </c>
    </row>
    <row r="59" spans="1:12">
      <c r="A59" t="s">
        <v>1876</v>
      </c>
      <c r="B59" s="1">
        <v>46179</v>
      </c>
      <c r="C59" t="s">
        <v>31</v>
      </c>
      <c r="D59" t="s">
        <v>41</v>
      </c>
      <c r="E59" t="s">
        <v>15</v>
      </c>
      <c r="F59" t="s">
        <v>16</v>
      </c>
      <c r="G59" t="s">
        <v>112</v>
      </c>
      <c r="H59" t="s">
        <v>33</v>
      </c>
      <c r="I59">
        <v>4</v>
      </c>
      <c r="J59">
        <v>67.599999999999994</v>
      </c>
      <c r="K59">
        <v>0.1</v>
      </c>
      <c r="L59">
        <v>243.35999999999999</v>
      </c>
    </row>
    <row r="60" spans="1:12">
      <c r="A60" t="s">
        <v>1872</v>
      </c>
      <c r="B60" s="1">
        <v>46056</v>
      </c>
      <c r="C60" t="s">
        <v>31</v>
      </c>
      <c r="D60" t="s">
        <v>14</v>
      </c>
      <c r="E60" t="s">
        <v>22</v>
      </c>
      <c r="F60" t="s">
        <v>27</v>
      </c>
      <c r="G60" t="s">
        <v>32</v>
      </c>
      <c r="H60" t="s">
        <v>39</v>
      </c>
      <c r="I60">
        <v>4</v>
      </c>
      <c r="J60">
        <v>280</v>
      </c>
      <c r="K60">
        <v>0.2</v>
      </c>
      <c r="L60">
        <v>896</v>
      </c>
    </row>
    <row r="61" spans="1:12">
      <c r="A61" t="s">
        <v>1866</v>
      </c>
      <c r="B61" s="1">
        <v>46291</v>
      </c>
      <c r="C61" t="s">
        <v>31</v>
      </c>
      <c r="D61" t="s">
        <v>14</v>
      </c>
      <c r="E61" t="s">
        <v>15</v>
      </c>
      <c r="F61" t="s">
        <v>16</v>
      </c>
      <c r="G61" t="s">
        <v>65</v>
      </c>
      <c r="H61" t="s">
        <v>79</v>
      </c>
      <c r="I61">
        <v>1</v>
      </c>
      <c r="J61">
        <v>76</v>
      </c>
      <c r="K61">
        <v>0.08</v>
      </c>
      <c r="L61">
        <v>69.92</v>
      </c>
    </row>
    <row r="62" spans="1:12">
      <c r="A62" t="s">
        <v>1862</v>
      </c>
      <c r="B62" s="1">
        <v>46242</v>
      </c>
      <c r="C62" t="s">
        <v>31</v>
      </c>
      <c r="D62" t="s">
        <v>14</v>
      </c>
      <c r="E62" t="s">
        <v>15</v>
      </c>
      <c r="F62" t="s">
        <v>60</v>
      </c>
      <c r="G62" t="s">
        <v>91</v>
      </c>
      <c r="H62" t="s">
        <v>79</v>
      </c>
      <c r="I62">
        <v>1</v>
      </c>
      <c r="J62">
        <v>580</v>
      </c>
      <c r="K62">
        <v>0</v>
      </c>
      <c r="L62">
        <v>580</v>
      </c>
    </row>
    <row r="63" spans="1:12">
      <c r="A63" t="s">
        <v>1856</v>
      </c>
      <c r="B63" s="1">
        <v>46171</v>
      </c>
      <c r="C63" t="s">
        <v>31</v>
      </c>
      <c r="D63" t="s">
        <v>41</v>
      </c>
      <c r="E63" t="s">
        <v>15</v>
      </c>
      <c r="F63" t="s">
        <v>48</v>
      </c>
      <c r="G63" t="s">
        <v>96</v>
      </c>
      <c r="H63" t="s">
        <v>33</v>
      </c>
      <c r="I63">
        <v>2</v>
      </c>
      <c r="J63">
        <v>2375</v>
      </c>
      <c r="K63">
        <v>0.03</v>
      </c>
      <c r="L63">
        <v>4607.5</v>
      </c>
    </row>
    <row r="64" spans="1:12">
      <c r="A64" t="s">
        <v>1853</v>
      </c>
      <c r="B64" s="1">
        <v>46330</v>
      </c>
      <c r="C64" t="s">
        <v>31</v>
      </c>
      <c r="D64" t="s">
        <v>14</v>
      </c>
      <c r="E64" t="s">
        <v>22</v>
      </c>
      <c r="F64" t="s">
        <v>60</v>
      </c>
      <c r="G64" t="s">
        <v>76</v>
      </c>
      <c r="H64" t="s">
        <v>79</v>
      </c>
      <c r="I64">
        <v>2</v>
      </c>
      <c r="J64">
        <v>714</v>
      </c>
      <c r="K64">
        <v>0.1</v>
      </c>
      <c r="L64">
        <v>1285.2</v>
      </c>
    </row>
    <row r="65" spans="1:12">
      <c r="A65" t="s">
        <v>130</v>
      </c>
      <c r="B65" s="1">
        <v>46105</v>
      </c>
      <c r="C65" t="s">
        <v>31</v>
      </c>
      <c r="D65" t="s">
        <v>14</v>
      </c>
      <c r="E65" t="s">
        <v>22</v>
      </c>
      <c r="F65" t="s">
        <v>23</v>
      </c>
      <c r="G65" t="s">
        <v>38</v>
      </c>
      <c r="H65" t="s">
        <v>39</v>
      </c>
      <c r="I65">
        <v>1</v>
      </c>
      <c r="J65">
        <v>320</v>
      </c>
      <c r="K65">
        <v>0.05</v>
      </c>
      <c r="L65">
        <v>304</v>
      </c>
    </row>
    <row r="66" spans="1:12">
      <c r="A66" t="s">
        <v>1840</v>
      </c>
      <c r="B66" s="1">
        <v>46196</v>
      </c>
      <c r="C66" t="s">
        <v>31</v>
      </c>
      <c r="D66" t="s">
        <v>14</v>
      </c>
      <c r="E66" t="s">
        <v>22</v>
      </c>
      <c r="F66" t="s">
        <v>60</v>
      </c>
      <c r="G66" t="s">
        <v>67</v>
      </c>
      <c r="H66" t="s">
        <v>33</v>
      </c>
      <c r="I66">
        <v>2</v>
      </c>
      <c r="J66">
        <v>1500</v>
      </c>
      <c r="K66">
        <v>0.15</v>
      </c>
      <c r="L66">
        <v>2550</v>
      </c>
    </row>
    <row r="67" spans="1:12">
      <c r="A67" t="s">
        <v>1838</v>
      </c>
      <c r="B67" s="1">
        <v>46149</v>
      </c>
      <c r="C67" t="s">
        <v>31</v>
      </c>
      <c r="D67" t="s">
        <v>21</v>
      </c>
      <c r="E67" t="s">
        <v>22</v>
      </c>
      <c r="F67" t="s">
        <v>60</v>
      </c>
      <c r="G67" t="s">
        <v>67</v>
      </c>
      <c r="H67" t="s">
        <v>79</v>
      </c>
      <c r="I67">
        <v>1</v>
      </c>
      <c r="J67">
        <v>1500</v>
      </c>
      <c r="K67">
        <v>0</v>
      </c>
      <c r="L67">
        <v>1500</v>
      </c>
    </row>
    <row r="68" spans="1:12">
      <c r="A68" t="s">
        <v>133</v>
      </c>
      <c r="B68" s="1">
        <v>46184</v>
      </c>
      <c r="C68" t="s">
        <v>31</v>
      </c>
      <c r="D68" t="s">
        <v>14</v>
      </c>
      <c r="E68" t="s">
        <v>22</v>
      </c>
      <c r="F68" t="s">
        <v>60</v>
      </c>
      <c r="G68" t="s">
        <v>91</v>
      </c>
      <c r="H68" t="s">
        <v>39</v>
      </c>
      <c r="I68">
        <v>1</v>
      </c>
      <c r="J68">
        <v>603.20000000000005</v>
      </c>
      <c r="K68">
        <v>0.1</v>
      </c>
      <c r="L68">
        <v>542.88000000000011</v>
      </c>
    </row>
    <row r="69" spans="1:12">
      <c r="A69" t="s">
        <v>1837</v>
      </c>
      <c r="B69" s="1">
        <v>46356</v>
      </c>
      <c r="C69" t="s">
        <v>31</v>
      </c>
      <c r="D69" t="s">
        <v>21</v>
      </c>
      <c r="E69" t="s">
        <v>22</v>
      </c>
      <c r="F69" t="s">
        <v>73</v>
      </c>
      <c r="G69" t="s">
        <v>129</v>
      </c>
      <c r="H69" t="s">
        <v>33</v>
      </c>
      <c r="I69">
        <v>1</v>
      </c>
      <c r="J69">
        <v>35</v>
      </c>
      <c r="K69">
        <v>0.03</v>
      </c>
      <c r="L69">
        <v>33.949999999999996</v>
      </c>
    </row>
    <row r="70" spans="1:12">
      <c r="A70" t="s">
        <v>1834</v>
      </c>
      <c r="B70" s="1">
        <v>46075</v>
      </c>
      <c r="C70" t="s">
        <v>31</v>
      </c>
      <c r="D70" t="s">
        <v>14</v>
      </c>
      <c r="E70" t="s">
        <v>22</v>
      </c>
      <c r="F70" t="s">
        <v>60</v>
      </c>
      <c r="G70" t="s">
        <v>76</v>
      </c>
      <c r="H70" t="s">
        <v>33</v>
      </c>
      <c r="I70">
        <v>1</v>
      </c>
      <c r="J70">
        <v>728</v>
      </c>
      <c r="K70">
        <v>0.05</v>
      </c>
      <c r="L70">
        <v>691.6</v>
      </c>
    </row>
    <row r="71" spans="1:12">
      <c r="A71" t="s">
        <v>1833</v>
      </c>
      <c r="B71" s="1">
        <v>46352</v>
      </c>
      <c r="C71" t="s">
        <v>31</v>
      </c>
      <c r="D71" t="s">
        <v>14</v>
      </c>
      <c r="E71" t="s">
        <v>22</v>
      </c>
      <c r="F71" t="s">
        <v>16</v>
      </c>
      <c r="G71" t="s">
        <v>42</v>
      </c>
      <c r="H71" t="s">
        <v>79</v>
      </c>
      <c r="I71">
        <v>3</v>
      </c>
      <c r="J71">
        <v>43.65</v>
      </c>
      <c r="K71">
        <v>0.1</v>
      </c>
      <c r="L71">
        <v>117.85499999999999</v>
      </c>
    </row>
    <row r="72" spans="1:12">
      <c r="A72" t="s">
        <v>1831</v>
      </c>
      <c r="B72" s="1">
        <v>46277</v>
      </c>
      <c r="C72" t="s">
        <v>31</v>
      </c>
      <c r="D72" t="s">
        <v>41</v>
      </c>
      <c r="E72" t="s">
        <v>15</v>
      </c>
      <c r="F72" t="s">
        <v>16</v>
      </c>
      <c r="G72" t="s">
        <v>17</v>
      </c>
      <c r="H72" t="s">
        <v>39</v>
      </c>
      <c r="I72">
        <v>2</v>
      </c>
      <c r="J72">
        <v>15.3</v>
      </c>
      <c r="K72">
        <v>0.05</v>
      </c>
      <c r="L72">
        <v>29.07</v>
      </c>
    </row>
    <row r="73" spans="1:12">
      <c r="A73" t="s">
        <v>1830</v>
      </c>
      <c r="B73" s="1">
        <v>46278</v>
      </c>
      <c r="C73" t="s">
        <v>31</v>
      </c>
      <c r="D73" t="s">
        <v>35</v>
      </c>
      <c r="E73" t="s">
        <v>22</v>
      </c>
      <c r="F73" t="s">
        <v>16</v>
      </c>
      <c r="G73" t="s">
        <v>57</v>
      </c>
      <c r="H73" t="s">
        <v>39</v>
      </c>
      <c r="I73">
        <v>7</v>
      </c>
      <c r="J73">
        <v>38</v>
      </c>
      <c r="K73">
        <v>0.1</v>
      </c>
      <c r="L73">
        <v>239.4</v>
      </c>
    </row>
    <row r="74" spans="1:12">
      <c r="A74" t="s">
        <v>1829</v>
      </c>
      <c r="B74" s="1">
        <v>46329</v>
      </c>
      <c r="C74" t="s">
        <v>31</v>
      </c>
      <c r="D74" t="s">
        <v>21</v>
      </c>
      <c r="E74" t="s">
        <v>22</v>
      </c>
      <c r="F74" t="s">
        <v>16</v>
      </c>
      <c r="G74" t="s">
        <v>57</v>
      </c>
      <c r="H74" t="s">
        <v>33</v>
      </c>
      <c r="I74">
        <v>1</v>
      </c>
      <c r="J74">
        <v>39.520000000000003</v>
      </c>
      <c r="K74">
        <v>0.15</v>
      </c>
      <c r="L74">
        <v>33.591999999999999</v>
      </c>
    </row>
    <row r="75" spans="1:12">
      <c r="A75" t="s">
        <v>1828</v>
      </c>
      <c r="B75" s="1">
        <v>46061</v>
      </c>
      <c r="C75" t="s">
        <v>31</v>
      </c>
      <c r="D75" t="s">
        <v>35</v>
      </c>
      <c r="E75" t="s">
        <v>15</v>
      </c>
      <c r="F75" t="s">
        <v>60</v>
      </c>
      <c r="G75" t="s">
        <v>67</v>
      </c>
      <c r="H75" t="s">
        <v>79</v>
      </c>
      <c r="I75">
        <v>2</v>
      </c>
      <c r="J75">
        <v>1455</v>
      </c>
      <c r="K75">
        <v>0.05</v>
      </c>
      <c r="L75">
        <v>2764.5</v>
      </c>
    </row>
    <row r="76" spans="1:12">
      <c r="A76" t="s">
        <v>1819</v>
      </c>
      <c r="B76" s="1">
        <v>46240</v>
      </c>
      <c r="C76" t="s">
        <v>31</v>
      </c>
      <c r="D76" t="s">
        <v>14</v>
      </c>
      <c r="E76" t="s">
        <v>22</v>
      </c>
      <c r="F76" t="s">
        <v>23</v>
      </c>
      <c r="G76" t="s">
        <v>38</v>
      </c>
      <c r="H76" t="s">
        <v>33</v>
      </c>
      <c r="I76">
        <v>1</v>
      </c>
      <c r="J76">
        <v>326.39999999999998</v>
      </c>
      <c r="K76">
        <v>0.03</v>
      </c>
      <c r="L76">
        <v>316.60799999999995</v>
      </c>
    </row>
    <row r="77" spans="1:12">
      <c r="A77" t="s">
        <v>1817</v>
      </c>
      <c r="B77" s="1">
        <v>46043</v>
      </c>
      <c r="C77" t="s">
        <v>31</v>
      </c>
      <c r="D77" t="s">
        <v>35</v>
      </c>
      <c r="E77" t="s">
        <v>22</v>
      </c>
      <c r="F77" t="s">
        <v>73</v>
      </c>
      <c r="G77" t="s">
        <v>129</v>
      </c>
      <c r="H77" t="s">
        <v>33</v>
      </c>
      <c r="I77">
        <v>9</v>
      </c>
      <c r="J77">
        <v>35</v>
      </c>
      <c r="K77">
        <v>0.2</v>
      </c>
      <c r="L77">
        <v>252</v>
      </c>
    </row>
    <row r="78" spans="1:12">
      <c r="A78" t="s">
        <v>1814</v>
      </c>
      <c r="B78" s="1">
        <v>46052</v>
      </c>
      <c r="C78" t="s">
        <v>31</v>
      </c>
      <c r="D78" t="s">
        <v>41</v>
      </c>
      <c r="E78" t="s">
        <v>15</v>
      </c>
      <c r="F78" t="s">
        <v>16</v>
      </c>
      <c r="G78" t="s">
        <v>57</v>
      </c>
      <c r="H78" t="s">
        <v>79</v>
      </c>
      <c r="I78">
        <v>2</v>
      </c>
      <c r="J78">
        <v>38</v>
      </c>
      <c r="K78">
        <v>0.1</v>
      </c>
      <c r="L78">
        <v>68.400000000000006</v>
      </c>
    </row>
    <row r="79" spans="1:12">
      <c r="A79" t="s">
        <v>1813</v>
      </c>
      <c r="B79" s="1">
        <v>46292</v>
      </c>
      <c r="C79" t="s">
        <v>31</v>
      </c>
      <c r="D79" t="s">
        <v>21</v>
      </c>
      <c r="E79" t="s">
        <v>22</v>
      </c>
      <c r="F79" t="s">
        <v>16</v>
      </c>
      <c r="G79" t="s">
        <v>57</v>
      </c>
      <c r="H79" t="s">
        <v>79</v>
      </c>
      <c r="I79">
        <v>3</v>
      </c>
      <c r="J79">
        <v>38.76</v>
      </c>
      <c r="K79">
        <v>0.08</v>
      </c>
      <c r="L79">
        <v>106.97760000000001</v>
      </c>
    </row>
    <row r="80" spans="1:12">
      <c r="A80" t="s">
        <v>1811</v>
      </c>
      <c r="B80" s="1">
        <v>46378</v>
      </c>
      <c r="C80" t="s">
        <v>31</v>
      </c>
      <c r="D80" t="s">
        <v>21</v>
      </c>
      <c r="E80" t="s">
        <v>22</v>
      </c>
      <c r="F80" t="s">
        <v>73</v>
      </c>
      <c r="G80" t="s">
        <v>81</v>
      </c>
      <c r="H80" t="s">
        <v>79</v>
      </c>
      <c r="I80">
        <v>6</v>
      </c>
      <c r="J80">
        <v>12</v>
      </c>
      <c r="K80">
        <v>0.08</v>
      </c>
      <c r="L80">
        <v>66.240000000000009</v>
      </c>
    </row>
    <row r="81" spans="1:12">
      <c r="A81" t="s">
        <v>1804</v>
      </c>
      <c r="B81" s="1">
        <v>46315</v>
      </c>
      <c r="C81" t="s">
        <v>31</v>
      </c>
      <c r="D81" t="s">
        <v>35</v>
      </c>
      <c r="E81" t="s">
        <v>22</v>
      </c>
      <c r="F81" t="s">
        <v>60</v>
      </c>
      <c r="G81" t="s">
        <v>67</v>
      </c>
      <c r="H81" t="s">
        <v>79</v>
      </c>
      <c r="I81">
        <v>1</v>
      </c>
      <c r="J81">
        <v>1590</v>
      </c>
      <c r="K81">
        <v>0.15</v>
      </c>
      <c r="L81">
        <v>1351.5</v>
      </c>
    </row>
    <row r="82" spans="1:12">
      <c r="A82" t="s">
        <v>149</v>
      </c>
      <c r="B82" s="1">
        <v>46130</v>
      </c>
      <c r="C82" t="s">
        <v>31</v>
      </c>
      <c r="D82" t="s">
        <v>14</v>
      </c>
      <c r="E82" t="s">
        <v>22</v>
      </c>
      <c r="F82" t="s">
        <v>23</v>
      </c>
      <c r="G82" t="s">
        <v>38</v>
      </c>
      <c r="H82" t="s">
        <v>33</v>
      </c>
      <c r="I82">
        <v>2</v>
      </c>
      <c r="J82">
        <v>310.39999999999998</v>
      </c>
      <c r="K82">
        <v>0.1</v>
      </c>
      <c r="L82">
        <v>558.72</v>
      </c>
    </row>
    <row r="83" spans="1:12">
      <c r="A83" t="s">
        <v>1797</v>
      </c>
      <c r="B83" s="1">
        <v>46379</v>
      </c>
      <c r="C83" t="s">
        <v>31</v>
      </c>
      <c r="D83" t="s">
        <v>21</v>
      </c>
      <c r="E83" t="s">
        <v>22</v>
      </c>
      <c r="F83" t="s">
        <v>48</v>
      </c>
      <c r="G83" t="s">
        <v>96</v>
      </c>
      <c r="H83" t="s">
        <v>39</v>
      </c>
      <c r="I83">
        <v>2</v>
      </c>
      <c r="J83">
        <v>2550</v>
      </c>
      <c r="K83">
        <v>0.15</v>
      </c>
      <c r="L83">
        <v>4335</v>
      </c>
    </row>
    <row r="84" spans="1:12">
      <c r="A84" t="s">
        <v>1794</v>
      </c>
      <c r="B84" s="1">
        <v>46278</v>
      </c>
      <c r="C84" t="s">
        <v>31</v>
      </c>
      <c r="D84" t="s">
        <v>14</v>
      </c>
      <c r="E84" t="s">
        <v>22</v>
      </c>
      <c r="F84" t="s">
        <v>48</v>
      </c>
      <c r="G84" t="s">
        <v>49</v>
      </c>
      <c r="H84" t="s">
        <v>33</v>
      </c>
      <c r="I84">
        <v>1</v>
      </c>
      <c r="J84">
        <v>4074</v>
      </c>
      <c r="K84">
        <v>0.2</v>
      </c>
      <c r="L84">
        <v>3259.2000000000003</v>
      </c>
    </row>
    <row r="85" spans="1:12">
      <c r="A85" t="s">
        <v>1788</v>
      </c>
      <c r="B85" s="1">
        <v>46071</v>
      </c>
      <c r="C85" t="s">
        <v>31</v>
      </c>
      <c r="D85" t="s">
        <v>35</v>
      </c>
      <c r="E85" t="s">
        <v>22</v>
      </c>
      <c r="F85" t="s">
        <v>23</v>
      </c>
      <c r="G85" t="s">
        <v>52</v>
      </c>
      <c r="H85" t="s">
        <v>39</v>
      </c>
      <c r="I85">
        <v>9</v>
      </c>
      <c r="J85">
        <v>468</v>
      </c>
      <c r="K85">
        <v>0.15</v>
      </c>
      <c r="L85">
        <v>3580.2</v>
      </c>
    </row>
    <row r="86" spans="1:12">
      <c r="A86" t="s">
        <v>1786</v>
      </c>
      <c r="B86" s="1">
        <v>46135</v>
      </c>
      <c r="C86" t="s">
        <v>31</v>
      </c>
      <c r="D86" t="s">
        <v>41</v>
      </c>
      <c r="E86" t="s">
        <v>22</v>
      </c>
      <c r="F86" t="s">
        <v>60</v>
      </c>
      <c r="G86" t="s">
        <v>76</v>
      </c>
      <c r="H86" t="s">
        <v>33</v>
      </c>
      <c r="I86">
        <v>3</v>
      </c>
      <c r="J86">
        <v>714</v>
      </c>
      <c r="K86">
        <v>0.05</v>
      </c>
      <c r="L86">
        <v>2034.8999999999999</v>
      </c>
    </row>
    <row r="87" spans="1:12">
      <c r="A87" t="s">
        <v>1784</v>
      </c>
      <c r="B87" s="1">
        <v>46257</v>
      </c>
      <c r="C87" t="s">
        <v>31</v>
      </c>
      <c r="D87" t="s">
        <v>14</v>
      </c>
      <c r="E87" t="s">
        <v>15</v>
      </c>
      <c r="F87" t="s">
        <v>23</v>
      </c>
      <c r="G87" t="s">
        <v>52</v>
      </c>
      <c r="H87" t="s">
        <v>79</v>
      </c>
      <c r="I87">
        <v>1</v>
      </c>
      <c r="J87">
        <v>450</v>
      </c>
      <c r="K87">
        <v>0</v>
      </c>
      <c r="L87">
        <v>450</v>
      </c>
    </row>
    <row r="88" spans="1:12">
      <c r="A88" t="s">
        <v>1783</v>
      </c>
      <c r="B88" s="1">
        <v>46377</v>
      </c>
      <c r="C88" t="s">
        <v>31</v>
      </c>
      <c r="D88" t="s">
        <v>14</v>
      </c>
      <c r="E88" t="s">
        <v>22</v>
      </c>
      <c r="F88" t="s">
        <v>60</v>
      </c>
      <c r="G88" t="s">
        <v>91</v>
      </c>
      <c r="H88" t="s">
        <v>33</v>
      </c>
      <c r="I88">
        <v>1</v>
      </c>
      <c r="J88">
        <v>562.6</v>
      </c>
      <c r="K88">
        <v>0.2</v>
      </c>
      <c r="L88">
        <v>450.08000000000004</v>
      </c>
    </row>
    <row r="89" spans="1:12">
      <c r="A89" t="s">
        <v>1780</v>
      </c>
      <c r="B89" s="1">
        <v>46241</v>
      </c>
      <c r="C89" t="s">
        <v>31</v>
      </c>
      <c r="D89" t="s">
        <v>41</v>
      </c>
      <c r="E89" t="s">
        <v>22</v>
      </c>
      <c r="F89" t="s">
        <v>16</v>
      </c>
      <c r="G89" t="s">
        <v>65</v>
      </c>
      <c r="H89" t="s">
        <v>33</v>
      </c>
      <c r="I89">
        <v>6</v>
      </c>
      <c r="J89">
        <v>84.8</v>
      </c>
      <c r="K89">
        <v>0.15</v>
      </c>
      <c r="L89">
        <v>432.47999999999996</v>
      </c>
    </row>
    <row r="90" spans="1:12">
      <c r="A90" t="s">
        <v>1779</v>
      </c>
      <c r="B90" s="1">
        <v>46104</v>
      </c>
      <c r="C90" t="s">
        <v>31</v>
      </c>
      <c r="D90" t="s">
        <v>21</v>
      </c>
      <c r="E90" t="s">
        <v>15</v>
      </c>
      <c r="F90" t="s">
        <v>16</v>
      </c>
      <c r="G90" t="s">
        <v>57</v>
      </c>
      <c r="H90" t="s">
        <v>39</v>
      </c>
      <c r="I90">
        <v>2</v>
      </c>
      <c r="J90">
        <v>38</v>
      </c>
      <c r="K90">
        <v>0.08</v>
      </c>
      <c r="L90">
        <v>69.92</v>
      </c>
    </row>
    <row r="91" spans="1:12">
      <c r="A91" t="s">
        <v>1776</v>
      </c>
      <c r="B91" s="1">
        <v>46353</v>
      </c>
      <c r="C91" t="s">
        <v>31</v>
      </c>
      <c r="D91" t="s">
        <v>35</v>
      </c>
      <c r="E91" t="s">
        <v>22</v>
      </c>
      <c r="F91" t="s">
        <v>48</v>
      </c>
      <c r="G91" t="s">
        <v>49</v>
      </c>
      <c r="H91" t="s">
        <v>39</v>
      </c>
      <c r="I91">
        <v>1</v>
      </c>
      <c r="J91">
        <v>4200</v>
      </c>
      <c r="K91">
        <v>0.15</v>
      </c>
      <c r="L91">
        <v>3570</v>
      </c>
    </row>
    <row r="92" spans="1:12">
      <c r="A92" t="s">
        <v>1775</v>
      </c>
      <c r="B92" s="1">
        <v>46148</v>
      </c>
      <c r="C92" t="s">
        <v>31</v>
      </c>
      <c r="D92" t="s">
        <v>21</v>
      </c>
      <c r="E92" t="s">
        <v>22</v>
      </c>
      <c r="F92" t="s">
        <v>16</v>
      </c>
      <c r="G92" t="s">
        <v>65</v>
      </c>
      <c r="H92" t="s">
        <v>79</v>
      </c>
      <c r="I92">
        <v>1</v>
      </c>
      <c r="J92">
        <v>80</v>
      </c>
      <c r="K92">
        <v>0.05</v>
      </c>
      <c r="L92">
        <v>76</v>
      </c>
    </row>
    <row r="93" spans="1:12">
      <c r="A93" t="s">
        <v>1774</v>
      </c>
      <c r="B93" s="1">
        <v>46155</v>
      </c>
      <c r="C93" t="s">
        <v>31</v>
      </c>
      <c r="D93" t="s">
        <v>41</v>
      </c>
      <c r="E93" t="s">
        <v>15</v>
      </c>
      <c r="F93" t="s">
        <v>23</v>
      </c>
      <c r="G93" t="s">
        <v>38</v>
      </c>
      <c r="H93" t="s">
        <v>33</v>
      </c>
      <c r="I93">
        <v>6</v>
      </c>
      <c r="J93">
        <v>304</v>
      </c>
      <c r="K93">
        <v>0.03</v>
      </c>
      <c r="L93">
        <v>1769.28</v>
      </c>
    </row>
    <row r="94" spans="1:12">
      <c r="A94" t="s">
        <v>1770</v>
      </c>
      <c r="B94" s="1">
        <v>46270</v>
      </c>
      <c r="C94" t="s">
        <v>31</v>
      </c>
      <c r="D94" t="s">
        <v>14</v>
      </c>
      <c r="E94" t="s">
        <v>15</v>
      </c>
      <c r="F94" t="s">
        <v>16</v>
      </c>
      <c r="G94" t="s">
        <v>42</v>
      </c>
      <c r="H94" t="s">
        <v>33</v>
      </c>
      <c r="I94">
        <v>3</v>
      </c>
      <c r="J94">
        <v>42.75</v>
      </c>
      <c r="K94">
        <v>0.05</v>
      </c>
      <c r="L94">
        <v>121.83749999999999</v>
      </c>
    </row>
    <row r="95" spans="1:12">
      <c r="A95" t="s">
        <v>1765</v>
      </c>
      <c r="B95" s="1">
        <v>46145</v>
      </c>
      <c r="C95" t="s">
        <v>31</v>
      </c>
      <c r="D95" t="s">
        <v>21</v>
      </c>
      <c r="E95" t="s">
        <v>22</v>
      </c>
      <c r="F95" t="s">
        <v>27</v>
      </c>
      <c r="G95" t="s">
        <v>32</v>
      </c>
      <c r="H95" t="s">
        <v>39</v>
      </c>
      <c r="I95">
        <v>2</v>
      </c>
      <c r="J95">
        <v>266</v>
      </c>
      <c r="K95">
        <v>0.05</v>
      </c>
      <c r="L95">
        <v>505.4</v>
      </c>
    </row>
    <row r="96" spans="1:12">
      <c r="A96" t="s">
        <v>1760</v>
      </c>
      <c r="B96" s="1">
        <v>46032</v>
      </c>
      <c r="C96" t="s">
        <v>31</v>
      </c>
      <c r="D96" t="s">
        <v>41</v>
      </c>
      <c r="E96" t="s">
        <v>15</v>
      </c>
      <c r="F96" t="s">
        <v>48</v>
      </c>
      <c r="G96" t="s">
        <v>96</v>
      </c>
      <c r="H96" t="s">
        <v>33</v>
      </c>
      <c r="I96">
        <v>1</v>
      </c>
      <c r="J96">
        <v>2500</v>
      </c>
      <c r="K96">
        <v>0.08</v>
      </c>
      <c r="L96">
        <v>2300</v>
      </c>
    </row>
    <row r="97" spans="1:12">
      <c r="A97" t="s">
        <v>165</v>
      </c>
      <c r="B97" s="1">
        <v>46112</v>
      </c>
      <c r="C97" t="s">
        <v>31</v>
      </c>
      <c r="D97" t="s">
        <v>35</v>
      </c>
      <c r="E97" t="s">
        <v>22</v>
      </c>
      <c r="F97" t="s">
        <v>60</v>
      </c>
      <c r="G97" t="s">
        <v>67</v>
      </c>
      <c r="H97" t="s">
        <v>39</v>
      </c>
      <c r="I97">
        <v>3</v>
      </c>
      <c r="J97">
        <v>1455</v>
      </c>
      <c r="K97">
        <v>0</v>
      </c>
      <c r="L97">
        <v>4365</v>
      </c>
    </row>
    <row r="98" spans="1:12">
      <c r="A98" t="s">
        <v>1756</v>
      </c>
      <c r="B98" s="1">
        <v>46075</v>
      </c>
      <c r="C98" t="s">
        <v>31</v>
      </c>
      <c r="D98" t="s">
        <v>14</v>
      </c>
      <c r="E98" t="s">
        <v>15</v>
      </c>
      <c r="F98" t="s">
        <v>27</v>
      </c>
      <c r="G98" t="s">
        <v>155</v>
      </c>
      <c r="H98" t="s">
        <v>39</v>
      </c>
      <c r="I98">
        <v>4</v>
      </c>
      <c r="J98">
        <v>171</v>
      </c>
      <c r="K98">
        <v>0</v>
      </c>
      <c r="L98">
        <v>684</v>
      </c>
    </row>
    <row r="99" spans="1:12">
      <c r="A99" t="s">
        <v>1754</v>
      </c>
      <c r="B99" s="1">
        <v>46362</v>
      </c>
      <c r="C99" t="s">
        <v>31</v>
      </c>
      <c r="D99" t="s">
        <v>14</v>
      </c>
      <c r="E99" t="s">
        <v>22</v>
      </c>
      <c r="F99" t="s">
        <v>60</v>
      </c>
      <c r="G99" t="s">
        <v>67</v>
      </c>
      <c r="H99" t="s">
        <v>39</v>
      </c>
      <c r="I99">
        <v>1</v>
      </c>
      <c r="J99">
        <v>1530</v>
      </c>
      <c r="K99">
        <v>0.08</v>
      </c>
      <c r="L99">
        <v>1407.6000000000001</v>
      </c>
    </row>
    <row r="100" spans="1:12">
      <c r="A100" t="s">
        <v>1752</v>
      </c>
      <c r="B100" s="1">
        <v>46373</v>
      </c>
      <c r="C100" t="s">
        <v>31</v>
      </c>
      <c r="D100" t="s">
        <v>14</v>
      </c>
      <c r="E100" t="s">
        <v>15</v>
      </c>
      <c r="F100" t="s">
        <v>73</v>
      </c>
      <c r="G100" t="s">
        <v>145</v>
      </c>
      <c r="H100" t="s">
        <v>79</v>
      </c>
      <c r="I100">
        <v>2</v>
      </c>
      <c r="J100">
        <v>18</v>
      </c>
      <c r="K100">
        <v>0.03</v>
      </c>
      <c r="L100">
        <v>34.92</v>
      </c>
    </row>
    <row r="101" spans="1:12">
      <c r="A101" t="s">
        <v>1745</v>
      </c>
      <c r="B101" s="1">
        <v>46041</v>
      </c>
      <c r="C101" t="s">
        <v>31</v>
      </c>
      <c r="D101" t="s">
        <v>14</v>
      </c>
      <c r="E101" t="s">
        <v>22</v>
      </c>
      <c r="F101" t="s">
        <v>73</v>
      </c>
      <c r="G101" t="s">
        <v>74</v>
      </c>
      <c r="H101" t="s">
        <v>33</v>
      </c>
      <c r="I101">
        <v>4</v>
      </c>
      <c r="J101">
        <v>8.16</v>
      </c>
      <c r="K101">
        <v>0</v>
      </c>
      <c r="L101">
        <v>32.64</v>
      </c>
    </row>
    <row r="102" spans="1:12">
      <c r="A102" t="s">
        <v>1744</v>
      </c>
      <c r="B102" s="1">
        <v>46378</v>
      </c>
      <c r="C102" t="s">
        <v>31</v>
      </c>
      <c r="D102" t="s">
        <v>14</v>
      </c>
      <c r="E102" t="s">
        <v>15</v>
      </c>
      <c r="F102" t="s">
        <v>73</v>
      </c>
      <c r="G102" t="s">
        <v>129</v>
      </c>
      <c r="H102" t="s">
        <v>33</v>
      </c>
      <c r="I102">
        <v>7</v>
      </c>
      <c r="J102">
        <v>35</v>
      </c>
      <c r="K102">
        <v>0.15</v>
      </c>
      <c r="L102">
        <v>208.25</v>
      </c>
    </row>
    <row r="103" spans="1:12">
      <c r="A103" t="s">
        <v>1722</v>
      </c>
      <c r="B103" s="1">
        <v>46177</v>
      </c>
      <c r="C103" t="s">
        <v>31</v>
      </c>
      <c r="D103" t="s">
        <v>14</v>
      </c>
      <c r="E103" t="s">
        <v>22</v>
      </c>
      <c r="F103" t="s">
        <v>60</v>
      </c>
      <c r="G103" t="s">
        <v>76</v>
      </c>
      <c r="H103" t="s">
        <v>33</v>
      </c>
      <c r="I103">
        <v>1</v>
      </c>
      <c r="J103">
        <v>728</v>
      </c>
      <c r="K103">
        <v>0.08</v>
      </c>
      <c r="L103">
        <v>669.76</v>
      </c>
    </row>
    <row r="104" spans="1:12">
      <c r="A104" t="s">
        <v>172</v>
      </c>
      <c r="B104" s="1">
        <v>46302</v>
      </c>
      <c r="C104" t="s">
        <v>31</v>
      </c>
      <c r="D104" t="s">
        <v>35</v>
      </c>
      <c r="E104" t="s">
        <v>15</v>
      </c>
      <c r="F104" t="s">
        <v>48</v>
      </c>
      <c r="G104" t="s">
        <v>96</v>
      </c>
      <c r="H104" t="s">
        <v>39</v>
      </c>
      <c r="I104">
        <v>2</v>
      </c>
      <c r="J104">
        <v>2550</v>
      </c>
      <c r="K104">
        <v>0.1</v>
      </c>
      <c r="L104">
        <v>4590</v>
      </c>
    </row>
    <row r="105" spans="1:12">
      <c r="A105" t="s">
        <v>1721</v>
      </c>
      <c r="B105" s="1">
        <v>46085</v>
      </c>
      <c r="C105" t="s">
        <v>31</v>
      </c>
      <c r="D105" t="s">
        <v>14</v>
      </c>
      <c r="E105" t="s">
        <v>15</v>
      </c>
      <c r="F105" t="s">
        <v>16</v>
      </c>
      <c r="G105" t="s">
        <v>42</v>
      </c>
      <c r="H105" t="s">
        <v>33</v>
      </c>
      <c r="I105">
        <v>1</v>
      </c>
      <c r="J105">
        <v>42.75</v>
      </c>
      <c r="K105">
        <v>0.05</v>
      </c>
      <c r="L105">
        <v>40.612499999999997</v>
      </c>
    </row>
    <row r="106" spans="1:12">
      <c r="A106" t="s">
        <v>174</v>
      </c>
      <c r="B106" s="1">
        <v>46235</v>
      </c>
      <c r="C106" t="s">
        <v>31</v>
      </c>
      <c r="D106" t="s">
        <v>14</v>
      </c>
      <c r="E106" t="s">
        <v>22</v>
      </c>
      <c r="F106" t="s">
        <v>60</v>
      </c>
      <c r="G106" t="s">
        <v>91</v>
      </c>
      <c r="H106" t="s">
        <v>39</v>
      </c>
      <c r="I106">
        <v>1</v>
      </c>
      <c r="J106">
        <v>614.79999999999995</v>
      </c>
      <c r="K106">
        <v>0.05</v>
      </c>
      <c r="L106">
        <v>584.05999999999995</v>
      </c>
    </row>
    <row r="107" spans="1:12">
      <c r="A107" t="s">
        <v>175</v>
      </c>
      <c r="B107" s="1">
        <v>46070</v>
      </c>
      <c r="C107" t="s">
        <v>31</v>
      </c>
      <c r="D107" t="s">
        <v>21</v>
      </c>
      <c r="E107" t="s">
        <v>22</v>
      </c>
      <c r="F107" t="s">
        <v>73</v>
      </c>
      <c r="G107" t="s">
        <v>74</v>
      </c>
      <c r="H107" t="s">
        <v>79</v>
      </c>
      <c r="I107">
        <v>2</v>
      </c>
      <c r="J107">
        <v>8</v>
      </c>
      <c r="K107">
        <v>0.2</v>
      </c>
      <c r="L107">
        <v>12.8</v>
      </c>
    </row>
    <row r="108" spans="1:12">
      <c r="A108" t="s">
        <v>1719</v>
      </c>
      <c r="B108" s="1">
        <v>46347</v>
      </c>
      <c r="C108" t="s">
        <v>31</v>
      </c>
      <c r="D108" t="s">
        <v>21</v>
      </c>
      <c r="E108" t="s">
        <v>22</v>
      </c>
      <c r="F108" t="s">
        <v>48</v>
      </c>
      <c r="G108" t="s">
        <v>71</v>
      </c>
      <c r="H108" t="s">
        <v>39</v>
      </c>
      <c r="I108">
        <v>4</v>
      </c>
      <c r="J108">
        <v>3200</v>
      </c>
      <c r="K108">
        <v>0.2</v>
      </c>
      <c r="L108">
        <v>10240</v>
      </c>
    </row>
    <row r="109" spans="1:12">
      <c r="A109" t="s">
        <v>1715</v>
      </c>
      <c r="B109" s="1">
        <v>46299</v>
      </c>
      <c r="C109" t="s">
        <v>31</v>
      </c>
      <c r="D109" t="s">
        <v>35</v>
      </c>
      <c r="E109" t="s">
        <v>22</v>
      </c>
      <c r="F109" t="s">
        <v>73</v>
      </c>
      <c r="G109" t="s">
        <v>129</v>
      </c>
      <c r="H109" t="s">
        <v>39</v>
      </c>
      <c r="I109">
        <v>8</v>
      </c>
      <c r="J109">
        <v>35</v>
      </c>
      <c r="K109">
        <v>0.03</v>
      </c>
      <c r="L109">
        <v>271.59999999999997</v>
      </c>
    </row>
    <row r="110" spans="1:12">
      <c r="A110" t="s">
        <v>1714</v>
      </c>
      <c r="B110" s="1">
        <v>46126</v>
      </c>
      <c r="C110" t="s">
        <v>31</v>
      </c>
      <c r="D110" t="s">
        <v>21</v>
      </c>
      <c r="E110" t="s">
        <v>22</v>
      </c>
      <c r="F110" t="s">
        <v>73</v>
      </c>
      <c r="G110" t="s">
        <v>127</v>
      </c>
      <c r="H110" t="s">
        <v>39</v>
      </c>
      <c r="I110">
        <v>3</v>
      </c>
      <c r="J110">
        <v>26.5</v>
      </c>
      <c r="K110">
        <v>0.03</v>
      </c>
      <c r="L110">
        <v>77.114999999999995</v>
      </c>
    </row>
    <row r="111" spans="1:12">
      <c r="A111" t="s">
        <v>1712</v>
      </c>
      <c r="B111" s="1">
        <v>46141</v>
      </c>
      <c r="C111" t="s">
        <v>31</v>
      </c>
      <c r="D111" t="s">
        <v>41</v>
      </c>
      <c r="E111" t="s">
        <v>22</v>
      </c>
      <c r="F111" t="s">
        <v>16</v>
      </c>
      <c r="G111" t="s">
        <v>17</v>
      </c>
      <c r="H111" t="s">
        <v>33</v>
      </c>
      <c r="I111">
        <v>3</v>
      </c>
      <c r="J111">
        <v>14.55</v>
      </c>
      <c r="K111">
        <v>0.1</v>
      </c>
      <c r="L111">
        <v>39.285000000000004</v>
      </c>
    </row>
    <row r="112" spans="1:12">
      <c r="A112" t="s">
        <v>1710</v>
      </c>
      <c r="B112" s="1">
        <v>46225</v>
      </c>
      <c r="C112" t="s">
        <v>31</v>
      </c>
      <c r="D112" t="s">
        <v>14</v>
      </c>
      <c r="E112" t="s">
        <v>22</v>
      </c>
      <c r="F112" t="s">
        <v>23</v>
      </c>
      <c r="G112" t="s">
        <v>52</v>
      </c>
      <c r="H112" t="s">
        <v>79</v>
      </c>
      <c r="I112">
        <v>3</v>
      </c>
      <c r="J112">
        <v>436.5</v>
      </c>
      <c r="K112">
        <v>0.05</v>
      </c>
      <c r="L112">
        <v>1244.0249999999999</v>
      </c>
    </row>
    <row r="113" spans="1:12">
      <c r="A113" t="s">
        <v>181</v>
      </c>
      <c r="B113" s="1">
        <v>46350</v>
      </c>
      <c r="C113" t="s">
        <v>31</v>
      </c>
      <c r="D113" t="s">
        <v>14</v>
      </c>
      <c r="E113" t="s">
        <v>15</v>
      </c>
      <c r="F113" t="s">
        <v>16</v>
      </c>
      <c r="G113" t="s">
        <v>65</v>
      </c>
      <c r="H113" t="s">
        <v>79</v>
      </c>
      <c r="I113">
        <v>1</v>
      </c>
      <c r="J113">
        <v>80</v>
      </c>
      <c r="K113">
        <v>0.08</v>
      </c>
      <c r="L113">
        <v>73.600000000000009</v>
      </c>
    </row>
    <row r="114" spans="1:12">
      <c r="A114" t="s">
        <v>1708</v>
      </c>
      <c r="B114" s="1">
        <v>46060</v>
      </c>
      <c r="C114" t="s">
        <v>31</v>
      </c>
      <c r="D114" t="s">
        <v>35</v>
      </c>
      <c r="E114" t="s">
        <v>22</v>
      </c>
      <c r="F114" t="s">
        <v>73</v>
      </c>
      <c r="G114" t="s">
        <v>74</v>
      </c>
      <c r="H114" t="s">
        <v>79</v>
      </c>
      <c r="I114">
        <v>9</v>
      </c>
      <c r="J114">
        <v>8.48</v>
      </c>
      <c r="K114">
        <v>0.08</v>
      </c>
      <c r="L114">
        <v>70.214400000000012</v>
      </c>
    </row>
    <row r="115" spans="1:12">
      <c r="A115" t="s">
        <v>1700</v>
      </c>
      <c r="B115" s="1">
        <v>46186</v>
      </c>
      <c r="C115" t="s">
        <v>31</v>
      </c>
      <c r="D115" t="s">
        <v>14</v>
      </c>
      <c r="E115" t="s">
        <v>15</v>
      </c>
      <c r="F115" t="s">
        <v>16</v>
      </c>
      <c r="G115" t="s">
        <v>42</v>
      </c>
      <c r="H115" t="s">
        <v>79</v>
      </c>
      <c r="I115">
        <v>2</v>
      </c>
      <c r="J115">
        <v>45</v>
      </c>
      <c r="K115">
        <v>0.2</v>
      </c>
      <c r="L115">
        <v>72</v>
      </c>
    </row>
    <row r="116" spans="1:12">
      <c r="A116" t="s">
        <v>184</v>
      </c>
      <c r="B116" s="1">
        <v>46296</v>
      </c>
      <c r="C116" t="s">
        <v>31</v>
      </c>
      <c r="D116" t="s">
        <v>21</v>
      </c>
      <c r="E116" t="s">
        <v>22</v>
      </c>
      <c r="F116" t="s">
        <v>60</v>
      </c>
      <c r="G116" t="s">
        <v>61</v>
      </c>
      <c r="H116" t="s">
        <v>39</v>
      </c>
      <c r="I116">
        <v>1</v>
      </c>
      <c r="J116">
        <v>867</v>
      </c>
      <c r="K116">
        <v>0.03</v>
      </c>
      <c r="L116">
        <v>840.99</v>
      </c>
    </row>
    <row r="117" spans="1:12">
      <c r="A117" t="s">
        <v>185</v>
      </c>
      <c r="B117" s="1">
        <v>46263</v>
      </c>
      <c r="C117" t="s">
        <v>31</v>
      </c>
      <c r="D117" t="s">
        <v>14</v>
      </c>
      <c r="E117" t="s">
        <v>22</v>
      </c>
      <c r="F117" t="s">
        <v>23</v>
      </c>
      <c r="G117" t="s">
        <v>138</v>
      </c>
      <c r="H117" t="s">
        <v>33</v>
      </c>
      <c r="I117">
        <v>3</v>
      </c>
      <c r="J117">
        <v>63.6</v>
      </c>
      <c r="K117">
        <v>0.05</v>
      </c>
      <c r="L117">
        <v>181.26</v>
      </c>
    </row>
    <row r="118" spans="1:12">
      <c r="A118" t="s">
        <v>1699</v>
      </c>
      <c r="B118" s="1">
        <v>46201</v>
      </c>
      <c r="C118" t="s">
        <v>31</v>
      </c>
      <c r="D118" t="s">
        <v>14</v>
      </c>
      <c r="E118" t="s">
        <v>15</v>
      </c>
      <c r="F118" t="s">
        <v>27</v>
      </c>
      <c r="G118" t="s">
        <v>155</v>
      </c>
      <c r="H118" t="s">
        <v>39</v>
      </c>
      <c r="I118">
        <v>7</v>
      </c>
      <c r="J118">
        <v>187.2</v>
      </c>
      <c r="K118">
        <v>0.08</v>
      </c>
      <c r="L118">
        <v>1205.568</v>
      </c>
    </row>
    <row r="119" spans="1:12">
      <c r="A119" t="s">
        <v>187</v>
      </c>
      <c r="B119" s="1">
        <v>46193</v>
      </c>
      <c r="C119" t="s">
        <v>31</v>
      </c>
      <c r="D119" t="s">
        <v>14</v>
      </c>
      <c r="E119" t="s">
        <v>22</v>
      </c>
      <c r="F119" t="s">
        <v>23</v>
      </c>
      <c r="G119" t="s">
        <v>138</v>
      </c>
      <c r="H119" t="s">
        <v>39</v>
      </c>
      <c r="I119">
        <v>2</v>
      </c>
      <c r="J119">
        <v>60</v>
      </c>
      <c r="K119">
        <v>0</v>
      </c>
      <c r="L119">
        <v>120</v>
      </c>
    </row>
    <row r="120" spans="1:12">
      <c r="A120" t="s">
        <v>1694</v>
      </c>
      <c r="B120" s="1">
        <v>46260</v>
      </c>
      <c r="C120" t="s">
        <v>31</v>
      </c>
      <c r="D120" t="s">
        <v>21</v>
      </c>
      <c r="E120" t="s">
        <v>22</v>
      </c>
      <c r="F120" t="s">
        <v>16</v>
      </c>
      <c r="G120" t="s">
        <v>57</v>
      </c>
      <c r="H120" t="s">
        <v>33</v>
      </c>
      <c r="I120">
        <v>8</v>
      </c>
      <c r="J120">
        <v>39.520000000000003</v>
      </c>
      <c r="K120">
        <v>0.08</v>
      </c>
      <c r="L120">
        <v>290.86720000000003</v>
      </c>
    </row>
    <row r="121" spans="1:12">
      <c r="A121" t="s">
        <v>189</v>
      </c>
      <c r="B121" s="1">
        <v>46052</v>
      </c>
      <c r="C121" t="s">
        <v>31</v>
      </c>
      <c r="D121" t="s">
        <v>14</v>
      </c>
      <c r="E121" t="s">
        <v>22</v>
      </c>
      <c r="F121" t="s">
        <v>48</v>
      </c>
      <c r="G121" t="s">
        <v>49</v>
      </c>
      <c r="H121" t="s">
        <v>33</v>
      </c>
      <c r="I121">
        <v>1</v>
      </c>
      <c r="J121">
        <v>4200</v>
      </c>
      <c r="K121">
        <v>0</v>
      </c>
      <c r="L121">
        <v>4200</v>
      </c>
    </row>
    <row r="122" spans="1:12">
      <c r="A122" t="s">
        <v>1692</v>
      </c>
      <c r="B122" s="1">
        <v>46197</v>
      </c>
      <c r="C122" t="s">
        <v>31</v>
      </c>
      <c r="D122" t="s">
        <v>41</v>
      </c>
      <c r="E122" t="s">
        <v>22</v>
      </c>
      <c r="F122" t="s">
        <v>73</v>
      </c>
      <c r="G122" t="s">
        <v>145</v>
      </c>
      <c r="H122" t="s">
        <v>39</v>
      </c>
      <c r="I122">
        <v>2</v>
      </c>
      <c r="J122">
        <v>18</v>
      </c>
      <c r="K122">
        <v>0.05</v>
      </c>
      <c r="L122">
        <v>34.199999999999996</v>
      </c>
    </row>
    <row r="123" spans="1:12">
      <c r="A123" t="s">
        <v>1687</v>
      </c>
      <c r="B123" s="1">
        <v>46316</v>
      </c>
      <c r="C123" t="s">
        <v>31</v>
      </c>
      <c r="D123" t="s">
        <v>21</v>
      </c>
      <c r="E123" t="s">
        <v>22</v>
      </c>
      <c r="F123" t="s">
        <v>16</v>
      </c>
      <c r="G123" t="s">
        <v>69</v>
      </c>
      <c r="H123" t="s">
        <v>33</v>
      </c>
      <c r="I123">
        <v>5</v>
      </c>
      <c r="J123">
        <v>58.3</v>
      </c>
      <c r="K123">
        <v>0</v>
      </c>
      <c r="L123">
        <v>291.5</v>
      </c>
    </row>
    <row r="124" spans="1:12">
      <c r="A124" t="s">
        <v>1685</v>
      </c>
      <c r="B124" s="1">
        <v>46212</v>
      </c>
      <c r="C124" t="s">
        <v>31</v>
      </c>
      <c r="D124" t="s">
        <v>14</v>
      </c>
      <c r="E124" t="s">
        <v>15</v>
      </c>
      <c r="F124" t="s">
        <v>16</v>
      </c>
      <c r="G124" t="s">
        <v>112</v>
      </c>
      <c r="H124" t="s">
        <v>33</v>
      </c>
      <c r="I124">
        <v>2</v>
      </c>
      <c r="J124">
        <v>65</v>
      </c>
      <c r="K124">
        <v>0.08</v>
      </c>
      <c r="L124">
        <v>119.60000000000001</v>
      </c>
    </row>
    <row r="125" spans="1:12">
      <c r="A125" t="s">
        <v>1682</v>
      </c>
      <c r="B125" s="1">
        <v>46056</v>
      </c>
      <c r="C125" t="s">
        <v>31</v>
      </c>
      <c r="D125" t="s">
        <v>41</v>
      </c>
      <c r="E125" t="s">
        <v>22</v>
      </c>
      <c r="F125" t="s">
        <v>23</v>
      </c>
      <c r="G125" t="s">
        <v>38</v>
      </c>
      <c r="H125" t="s">
        <v>39</v>
      </c>
      <c r="I125">
        <v>3</v>
      </c>
      <c r="J125">
        <v>326.39999999999998</v>
      </c>
      <c r="K125">
        <v>0.2</v>
      </c>
      <c r="L125">
        <v>783.36</v>
      </c>
    </row>
    <row r="126" spans="1:12">
      <c r="A126" t="s">
        <v>1681</v>
      </c>
      <c r="B126" s="1">
        <v>46036</v>
      </c>
      <c r="C126" t="s">
        <v>31</v>
      </c>
      <c r="D126" t="s">
        <v>14</v>
      </c>
      <c r="E126" t="s">
        <v>22</v>
      </c>
      <c r="F126" t="s">
        <v>27</v>
      </c>
      <c r="G126" t="s">
        <v>155</v>
      </c>
      <c r="H126" t="s">
        <v>79</v>
      </c>
      <c r="I126">
        <v>2</v>
      </c>
      <c r="J126">
        <v>174.6</v>
      </c>
      <c r="K126">
        <v>0.08</v>
      </c>
      <c r="L126">
        <v>321.26400000000001</v>
      </c>
    </row>
    <row r="127" spans="1:12">
      <c r="A127" t="s">
        <v>195</v>
      </c>
      <c r="B127" s="1">
        <v>46293</v>
      </c>
      <c r="C127" t="s">
        <v>31</v>
      </c>
      <c r="D127" t="s">
        <v>21</v>
      </c>
      <c r="E127" t="s">
        <v>22</v>
      </c>
      <c r="F127" t="s">
        <v>60</v>
      </c>
      <c r="G127" t="s">
        <v>91</v>
      </c>
      <c r="H127" t="s">
        <v>79</v>
      </c>
      <c r="I127">
        <v>4</v>
      </c>
      <c r="J127">
        <v>614.79999999999995</v>
      </c>
      <c r="K127">
        <v>0.08</v>
      </c>
      <c r="L127">
        <v>2262.4639999999999</v>
      </c>
    </row>
    <row r="128" spans="1:12">
      <c r="A128" t="s">
        <v>1679</v>
      </c>
      <c r="B128" s="1">
        <v>46096</v>
      </c>
      <c r="C128" t="s">
        <v>31</v>
      </c>
      <c r="D128" t="s">
        <v>21</v>
      </c>
      <c r="E128" t="s">
        <v>15</v>
      </c>
      <c r="F128" t="s">
        <v>16</v>
      </c>
      <c r="G128" t="s">
        <v>57</v>
      </c>
      <c r="H128" t="s">
        <v>39</v>
      </c>
      <c r="I128">
        <v>5</v>
      </c>
      <c r="J128">
        <v>38</v>
      </c>
      <c r="K128">
        <v>0.03</v>
      </c>
      <c r="L128">
        <v>184.29999999999998</v>
      </c>
    </row>
    <row r="129" spans="1:12">
      <c r="A129" t="s">
        <v>1672</v>
      </c>
      <c r="B129" s="1">
        <v>46172</v>
      </c>
      <c r="C129" t="s">
        <v>31</v>
      </c>
      <c r="D129" t="s">
        <v>14</v>
      </c>
      <c r="E129" t="s">
        <v>22</v>
      </c>
      <c r="F129" t="s">
        <v>16</v>
      </c>
      <c r="G129" t="s">
        <v>42</v>
      </c>
      <c r="H129" t="s">
        <v>79</v>
      </c>
      <c r="I129">
        <v>2</v>
      </c>
      <c r="J129">
        <v>46.8</v>
      </c>
      <c r="K129">
        <v>0.05</v>
      </c>
      <c r="L129">
        <v>88.919999999999987</v>
      </c>
    </row>
    <row r="130" spans="1:12">
      <c r="A130" t="s">
        <v>1669</v>
      </c>
      <c r="B130" s="1">
        <v>46382</v>
      </c>
      <c r="C130" t="s">
        <v>31</v>
      </c>
      <c r="D130" t="s">
        <v>14</v>
      </c>
      <c r="E130" t="s">
        <v>22</v>
      </c>
      <c r="F130" t="s">
        <v>23</v>
      </c>
      <c r="G130" t="s">
        <v>24</v>
      </c>
      <c r="H130" t="s">
        <v>33</v>
      </c>
      <c r="I130">
        <v>6</v>
      </c>
      <c r="J130">
        <v>90</v>
      </c>
      <c r="K130">
        <v>0.03</v>
      </c>
      <c r="L130">
        <v>523.79999999999995</v>
      </c>
    </row>
    <row r="131" spans="1:12">
      <c r="A131" t="s">
        <v>1668</v>
      </c>
      <c r="B131" s="1">
        <v>46067</v>
      </c>
      <c r="C131" t="s">
        <v>31</v>
      </c>
      <c r="D131" t="s">
        <v>14</v>
      </c>
      <c r="E131" t="s">
        <v>22</v>
      </c>
      <c r="F131" t="s">
        <v>16</v>
      </c>
      <c r="G131" t="s">
        <v>17</v>
      </c>
      <c r="H131" t="s">
        <v>39</v>
      </c>
      <c r="I131">
        <v>1</v>
      </c>
      <c r="J131">
        <v>15</v>
      </c>
      <c r="K131">
        <v>0.15</v>
      </c>
      <c r="L131">
        <v>12.75</v>
      </c>
    </row>
    <row r="132" spans="1:12">
      <c r="A132" t="s">
        <v>1661</v>
      </c>
      <c r="B132" s="1">
        <v>46062</v>
      </c>
      <c r="C132" t="s">
        <v>31</v>
      </c>
      <c r="D132" t="s">
        <v>35</v>
      </c>
      <c r="E132" t="s">
        <v>15</v>
      </c>
      <c r="F132" t="s">
        <v>48</v>
      </c>
      <c r="G132" t="s">
        <v>99</v>
      </c>
      <c r="H132" t="s">
        <v>39</v>
      </c>
      <c r="I132">
        <v>2</v>
      </c>
      <c r="J132">
        <v>2910</v>
      </c>
      <c r="K132">
        <v>0.08</v>
      </c>
      <c r="L132">
        <v>5354.4000000000005</v>
      </c>
    </row>
    <row r="133" spans="1:12">
      <c r="A133" t="s">
        <v>1653</v>
      </c>
      <c r="B133" s="1">
        <v>46313</v>
      </c>
      <c r="C133" t="s">
        <v>31</v>
      </c>
      <c r="D133" t="s">
        <v>21</v>
      </c>
      <c r="E133" t="s">
        <v>15</v>
      </c>
      <c r="F133" t="s">
        <v>27</v>
      </c>
      <c r="G133" t="s">
        <v>155</v>
      </c>
      <c r="H133" t="s">
        <v>79</v>
      </c>
      <c r="I133">
        <v>2</v>
      </c>
      <c r="J133">
        <v>180</v>
      </c>
      <c r="K133">
        <v>0</v>
      </c>
      <c r="L133">
        <v>360</v>
      </c>
    </row>
    <row r="134" spans="1:12">
      <c r="A134" t="s">
        <v>1652</v>
      </c>
      <c r="B134" s="1">
        <v>46177</v>
      </c>
      <c r="C134" t="s">
        <v>31</v>
      </c>
      <c r="D134" t="s">
        <v>14</v>
      </c>
      <c r="E134" t="s">
        <v>15</v>
      </c>
      <c r="F134" t="s">
        <v>23</v>
      </c>
      <c r="G134" t="s">
        <v>52</v>
      </c>
      <c r="H134" t="s">
        <v>39</v>
      </c>
      <c r="I134">
        <v>1</v>
      </c>
      <c r="J134">
        <v>427.5</v>
      </c>
      <c r="K134">
        <v>0.15</v>
      </c>
      <c r="L134">
        <v>363.375</v>
      </c>
    </row>
    <row r="135" spans="1:12">
      <c r="A135" t="s">
        <v>1648</v>
      </c>
      <c r="B135" s="1">
        <v>46192</v>
      </c>
      <c r="C135" t="s">
        <v>31</v>
      </c>
      <c r="D135" t="s">
        <v>14</v>
      </c>
      <c r="E135" t="s">
        <v>15</v>
      </c>
      <c r="F135" t="s">
        <v>16</v>
      </c>
      <c r="G135" t="s">
        <v>17</v>
      </c>
      <c r="H135" t="s">
        <v>79</v>
      </c>
      <c r="I135">
        <v>2</v>
      </c>
      <c r="J135">
        <v>14.55</v>
      </c>
      <c r="K135">
        <v>0.05</v>
      </c>
      <c r="L135">
        <v>27.645</v>
      </c>
    </row>
    <row r="136" spans="1:12">
      <c r="A136" t="s">
        <v>1647</v>
      </c>
      <c r="B136" s="1">
        <v>46250</v>
      </c>
      <c r="C136" t="s">
        <v>31</v>
      </c>
      <c r="D136" t="s">
        <v>21</v>
      </c>
      <c r="E136" t="s">
        <v>15</v>
      </c>
      <c r="F136" t="s">
        <v>60</v>
      </c>
      <c r="G136" t="s">
        <v>91</v>
      </c>
      <c r="H136" t="s">
        <v>33</v>
      </c>
      <c r="I136">
        <v>2</v>
      </c>
      <c r="J136">
        <v>614.79999999999995</v>
      </c>
      <c r="K136">
        <v>0.15</v>
      </c>
      <c r="L136">
        <v>1045.1599999999999</v>
      </c>
    </row>
    <row r="137" spans="1:12">
      <c r="A137" t="s">
        <v>1642</v>
      </c>
      <c r="B137" s="1">
        <v>46063</v>
      </c>
      <c r="C137" t="s">
        <v>31</v>
      </c>
      <c r="D137" t="s">
        <v>21</v>
      </c>
      <c r="E137" t="s">
        <v>22</v>
      </c>
      <c r="F137" t="s">
        <v>60</v>
      </c>
      <c r="G137" t="s">
        <v>67</v>
      </c>
      <c r="H137" t="s">
        <v>79</v>
      </c>
      <c r="I137">
        <v>2</v>
      </c>
      <c r="J137">
        <v>1425</v>
      </c>
      <c r="K137">
        <v>0.03</v>
      </c>
      <c r="L137">
        <v>2764.5</v>
      </c>
    </row>
    <row r="138" spans="1:12">
      <c r="A138" t="s">
        <v>1638</v>
      </c>
      <c r="B138" s="1">
        <v>46088</v>
      </c>
      <c r="C138" t="s">
        <v>31</v>
      </c>
      <c r="D138" t="s">
        <v>41</v>
      </c>
      <c r="E138" t="s">
        <v>22</v>
      </c>
      <c r="F138" t="s">
        <v>27</v>
      </c>
      <c r="G138" t="s">
        <v>155</v>
      </c>
      <c r="H138" t="s">
        <v>79</v>
      </c>
      <c r="I138">
        <v>4</v>
      </c>
      <c r="J138">
        <v>190.8</v>
      </c>
      <c r="K138">
        <v>0.03</v>
      </c>
      <c r="L138">
        <v>740.30399999999997</v>
      </c>
    </row>
    <row r="139" spans="1:12">
      <c r="A139" t="s">
        <v>1637</v>
      </c>
      <c r="B139" s="1">
        <v>46250</v>
      </c>
      <c r="C139" t="s">
        <v>31</v>
      </c>
      <c r="D139" t="s">
        <v>35</v>
      </c>
      <c r="E139" t="s">
        <v>22</v>
      </c>
      <c r="F139" t="s">
        <v>60</v>
      </c>
      <c r="G139" t="s">
        <v>91</v>
      </c>
      <c r="H139" t="s">
        <v>39</v>
      </c>
      <c r="I139">
        <v>1</v>
      </c>
      <c r="J139">
        <v>580</v>
      </c>
      <c r="K139">
        <v>0.08</v>
      </c>
      <c r="L139">
        <v>533.6</v>
      </c>
    </row>
    <row r="140" spans="1:12">
      <c r="A140" t="s">
        <v>1636</v>
      </c>
      <c r="B140" s="1">
        <v>46317</v>
      </c>
      <c r="C140" t="s">
        <v>31</v>
      </c>
      <c r="D140" t="s">
        <v>14</v>
      </c>
      <c r="E140" t="s">
        <v>22</v>
      </c>
      <c r="F140" t="s">
        <v>23</v>
      </c>
      <c r="G140" t="s">
        <v>38</v>
      </c>
      <c r="H140" t="s">
        <v>79</v>
      </c>
      <c r="I140">
        <v>3</v>
      </c>
      <c r="J140">
        <v>304</v>
      </c>
      <c r="K140">
        <v>0.03</v>
      </c>
      <c r="L140">
        <v>884.64</v>
      </c>
    </row>
    <row r="141" spans="1:12">
      <c r="A141" t="s">
        <v>1626</v>
      </c>
      <c r="B141" s="1">
        <v>46110</v>
      </c>
      <c r="C141" t="s">
        <v>31</v>
      </c>
      <c r="D141" t="s">
        <v>35</v>
      </c>
      <c r="E141" t="s">
        <v>22</v>
      </c>
      <c r="F141" t="s">
        <v>48</v>
      </c>
      <c r="G141" t="s">
        <v>99</v>
      </c>
      <c r="H141" t="s">
        <v>33</v>
      </c>
      <c r="I141">
        <v>1</v>
      </c>
      <c r="J141">
        <v>3000</v>
      </c>
      <c r="K141">
        <v>0.2</v>
      </c>
      <c r="L141">
        <v>2400</v>
      </c>
    </row>
    <row r="142" spans="1:12">
      <c r="A142" t="s">
        <v>210</v>
      </c>
      <c r="B142" s="1">
        <v>46248</v>
      </c>
      <c r="C142" t="s">
        <v>31</v>
      </c>
      <c r="D142" t="s">
        <v>14</v>
      </c>
      <c r="E142" t="s">
        <v>15</v>
      </c>
      <c r="F142" t="s">
        <v>16</v>
      </c>
      <c r="G142" t="s">
        <v>69</v>
      </c>
      <c r="H142" t="s">
        <v>33</v>
      </c>
      <c r="I142">
        <v>1</v>
      </c>
      <c r="J142">
        <v>58.3</v>
      </c>
      <c r="K142">
        <v>0.1</v>
      </c>
      <c r="L142">
        <v>52.47</v>
      </c>
    </row>
    <row r="143" spans="1:12">
      <c r="A143" t="s">
        <v>1622</v>
      </c>
      <c r="B143" s="1">
        <v>46367</v>
      </c>
      <c r="C143" t="s">
        <v>31</v>
      </c>
      <c r="D143" t="s">
        <v>14</v>
      </c>
      <c r="E143" t="s">
        <v>22</v>
      </c>
      <c r="F143" t="s">
        <v>73</v>
      </c>
      <c r="G143" t="s">
        <v>145</v>
      </c>
      <c r="H143" t="s">
        <v>39</v>
      </c>
      <c r="I143">
        <v>6</v>
      </c>
      <c r="J143">
        <v>18.72</v>
      </c>
      <c r="K143">
        <v>0.08</v>
      </c>
      <c r="L143">
        <v>103.3344</v>
      </c>
    </row>
    <row r="144" spans="1:12">
      <c r="A144" t="s">
        <v>1620</v>
      </c>
      <c r="B144" s="1">
        <v>46118</v>
      </c>
      <c r="C144" t="s">
        <v>31</v>
      </c>
      <c r="D144" t="s">
        <v>21</v>
      </c>
      <c r="E144" t="s">
        <v>15</v>
      </c>
      <c r="F144" t="s">
        <v>60</v>
      </c>
      <c r="G144" t="s">
        <v>76</v>
      </c>
      <c r="H144" t="s">
        <v>33</v>
      </c>
      <c r="I144">
        <v>2</v>
      </c>
      <c r="J144">
        <v>728</v>
      </c>
      <c r="K144">
        <v>0</v>
      </c>
      <c r="L144">
        <v>1456</v>
      </c>
    </row>
    <row r="145" spans="1:12">
      <c r="A145" t="s">
        <v>1615</v>
      </c>
      <c r="B145" s="1">
        <v>46190</v>
      </c>
      <c r="C145" t="s">
        <v>31</v>
      </c>
      <c r="D145" t="s">
        <v>21</v>
      </c>
      <c r="E145" t="s">
        <v>22</v>
      </c>
      <c r="F145" t="s">
        <v>16</v>
      </c>
      <c r="G145" t="s">
        <v>42</v>
      </c>
      <c r="H145" t="s">
        <v>39</v>
      </c>
      <c r="I145">
        <v>2</v>
      </c>
      <c r="J145">
        <v>45</v>
      </c>
      <c r="K145">
        <v>0.15</v>
      </c>
      <c r="L145">
        <v>76.5</v>
      </c>
    </row>
    <row r="146" spans="1:12">
      <c r="A146" t="s">
        <v>1614</v>
      </c>
      <c r="B146" s="1">
        <v>46030</v>
      </c>
      <c r="C146" t="s">
        <v>31</v>
      </c>
      <c r="D146" t="s">
        <v>41</v>
      </c>
      <c r="E146" t="s">
        <v>22</v>
      </c>
      <c r="F146" t="s">
        <v>73</v>
      </c>
      <c r="G146" t="s">
        <v>129</v>
      </c>
      <c r="H146" t="s">
        <v>33</v>
      </c>
      <c r="I146">
        <v>1</v>
      </c>
      <c r="J146">
        <v>35.700000000000003</v>
      </c>
      <c r="K146">
        <v>0</v>
      </c>
      <c r="L146">
        <v>35.700000000000003</v>
      </c>
    </row>
    <row r="147" spans="1:12">
      <c r="A147" t="s">
        <v>215</v>
      </c>
      <c r="B147" s="1">
        <v>46280</v>
      </c>
      <c r="C147" t="s">
        <v>31</v>
      </c>
      <c r="D147" t="s">
        <v>14</v>
      </c>
      <c r="E147" t="s">
        <v>22</v>
      </c>
      <c r="F147" t="s">
        <v>73</v>
      </c>
      <c r="G147" t="s">
        <v>129</v>
      </c>
      <c r="H147" t="s">
        <v>39</v>
      </c>
      <c r="I147">
        <v>3</v>
      </c>
      <c r="J147">
        <v>35</v>
      </c>
      <c r="K147">
        <v>0.2</v>
      </c>
      <c r="L147">
        <v>84</v>
      </c>
    </row>
    <row r="148" spans="1:12">
      <c r="A148" t="s">
        <v>1613</v>
      </c>
      <c r="B148" s="1">
        <v>46357</v>
      </c>
      <c r="C148" t="s">
        <v>31</v>
      </c>
      <c r="D148" t="s">
        <v>41</v>
      </c>
      <c r="E148" t="s">
        <v>22</v>
      </c>
      <c r="F148" t="s">
        <v>16</v>
      </c>
      <c r="G148" t="s">
        <v>57</v>
      </c>
      <c r="H148" t="s">
        <v>79</v>
      </c>
      <c r="I148">
        <v>3</v>
      </c>
      <c r="J148">
        <v>38.76</v>
      </c>
      <c r="K148">
        <v>0.1</v>
      </c>
      <c r="L148">
        <v>104.652</v>
      </c>
    </row>
    <row r="149" spans="1:12">
      <c r="A149" t="s">
        <v>1611</v>
      </c>
      <c r="B149" s="1">
        <v>46140</v>
      </c>
      <c r="C149" t="s">
        <v>31</v>
      </c>
      <c r="D149" t="s">
        <v>21</v>
      </c>
      <c r="E149" t="s">
        <v>15</v>
      </c>
      <c r="F149" t="s">
        <v>48</v>
      </c>
      <c r="G149" t="s">
        <v>54</v>
      </c>
      <c r="H149" t="s">
        <v>33</v>
      </c>
      <c r="I149">
        <v>2</v>
      </c>
      <c r="J149">
        <v>1836</v>
      </c>
      <c r="K149">
        <v>0.03</v>
      </c>
      <c r="L149">
        <v>3561.8399999999997</v>
      </c>
    </row>
    <row r="150" spans="1:12">
      <c r="A150" t="s">
        <v>218</v>
      </c>
      <c r="B150" s="1">
        <v>46200</v>
      </c>
      <c r="C150" t="s">
        <v>31</v>
      </c>
      <c r="D150" t="s">
        <v>14</v>
      </c>
      <c r="E150" t="s">
        <v>15</v>
      </c>
      <c r="F150" t="s">
        <v>48</v>
      </c>
      <c r="G150" t="s">
        <v>54</v>
      </c>
      <c r="H150" t="s">
        <v>79</v>
      </c>
      <c r="I150">
        <v>1</v>
      </c>
      <c r="J150">
        <v>1800</v>
      </c>
      <c r="K150">
        <v>0.1</v>
      </c>
      <c r="L150">
        <v>1620</v>
      </c>
    </row>
    <row r="151" spans="1:12">
      <c r="A151" t="s">
        <v>1609</v>
      </c>
      <c r="B151" s="1">
        <v>46034</v>
      </c>
      <c r="C151" t="s">
        <v>31</v>
      </c>
      <c r="D151" t="s">
        <v>41</v>
      </c>
      <c r="E151" t="s">
        <v>22</v>
      </c>
      <c r="F151" t="s">
        <v>73</v>
      </c>
      <c r="G151" t="s">
        <v>129</v>
      </c>
      <c r="H151" t="s">
        <v>33</v>
      </c>
      <c r="I151">
        <v>1</v>
      </c>
      <c r="J151">
        <v>36.4</v>
      </c>
      <c r="K151">
        <v>0.03</v>
      </c>
      <c r="L151">
        <v>35.308</v>
      </c>
    </row>
    <row r="152" spans="1:12">
      <c r="A152" t="s">
        <v>1608</v>
      </c>
      <c r="B152" s="1">
        <v>46034</v>
      </c>
      <c r="C152" t="s">
        <v>31</v>
      </c>
      <c r="D152" t="s">
        <v>21</v>
      </c>
      <c r="E152" t="s">
        <v>22</v>
      </c>
      <c r="F152" t="s">
        <v>27</v>
      </c>
      <c r="G152" t="s">
        <v>155</v>
      </c>
      <c r="H152" t="s">
        <v>33</v>
      </c>
      <c r="I152">
        <v>3</v>
      </c>
      <c r="J152">
        <v>171</v>
      </c>
      <c r="K152">
        <v>0.1</v>
      </c>
      <c r="L152">
        <v>461.7</v>
      </c>
    </row>
    <row r="153" spans="1:12">
      <c r="A153" t="s">
        <v>221</v>
      </c>
      <c r="B153" s="1">
        <v>46025</v>
      </c>
      <c r="C153" t="s">
        <v>31</v>
      </c>
      <c r="D153" t="s">
        <v>35</v>
      </c>
      <c r="E153" t="s">
        <v>22</v>
      </c>
      <c r="F153" t="s">
        <v>27</v>
      </c>
      <c r="G153" t="s">
        <v>32</v>
      </c>
      <c r="H153" t="s">
        <v>33</v>
      </c>
      <c r="I153">
        <v>8</v>
      </c>
      <c r="J153">
        <v>280</v>
      </c>
      <c r="K153">
        <v>0.2</v>
      </c>
      <c r="L153">
        <v>1792</v>
      </c>
    </row>
    <row r="154" spans="1:12">
      <c r="A154" t="s">
        <v>1606</v>
      </c>
      <c r="B154" s="1">
        <v>46333</v>
      </c>
      <c r="C154" t="s">
        <v>31</v>
      </c>
      <c r="D154" t="s">
        <v>35</v>
      </c>
      <c r="E154" t="s">
        <v>22</v>
      </c>
      <c r="F154" t="s">
        <v>27</v>
      </c>
      <c r="G154" t="s">
        <v>155</v>
      </c>
      <c r="H154" t="s">
        <v>79</v>
      </c>
      <c r="I154">
        <v>9</v>
      </c>
      <c r="J154">
        <v>190.8</v>
      </c>
      <c r="K154">
        <v>0.2</v>
      </c>
      <c r="L154">
        <v>1373.7600000000002</v>
      </c>
    </row>
    <row r="155" spans="1:12">
      <c r="A155" t="s">
        <v>223</v>
      </c>
      <c r="B155" s="1">
        <v>46191</v>
      </c>
      <c r="C155" t="s">
        <v>31</v>
      </c>
      <c r="D155" t="s">
        <v>35</v>
      </c>
      <c r="E155" t="s">
        <v>22</v>
      </c>
      <c r="F155" t="s">
        <v>48</v>
      </c>
      <c r="G155" t="s">
        <v>99</v>
      </c>
      <c r="H155" t="s">
        <v>79</v>
      </c>
      <c r="I155">
        <v>1</v>
      </c>
      <c r="J155">
        <v>3000</v>
      </c>
      <c r="K155">
        <v>0.2</v>
      </c>
      <c r="L155">
        <v>2400</v>
      </c>
    </row>
    <row r="156" spans="1:12">
      <c r="A156" t="s">
        <v>224</v>
      </c>
      <c r="B156" s="1">
        <v>46081</v>
      </c>
      <c r="C156" t="s">
        <v>31</v>
      </c>
      <c r="D156" t="s">
        <v>14</v>
      </c>
      <c r="E156" t="s">
        <v>22</v>
      </c>
      <c r="F156" t="s">
        <v>27</v>
      </c>
      <c r="G156" t="s">
        <v>28</v>
      </c>
      <c r="H156" t="s">
        <v>33</v>
      </c>
      <c r="I156">
        <v>4</v>
      </c>
      <c r="J156">
        <v>20.399999999999999</v>
      </c>
      <c r="K156">
        <v>0.05</v>
      </c>
      <c r="L156">
        <v>77.52</v>
      </c>
    </row>
    <row r="157" spans="1:12">
      <c r="A157" t="s">
        <v>225</v>
      </c>
      <c r="B157" s="1">
        <v>46354</v>
      </c>
      <c r="C157" t="s">
        <v>31</v>
      </c>
      <c r="D157" t="s">
        <v>35</v>
      </c>
      <c r="E157" t="s">
        <v>22</v>
      </c>
      <c r="F157" t="s">
        <v>48</v>
      </c>
      <c r="G157" t="s">
        <v>54</v>
      </c>
      <c r="H157" t="s">
        <v>79</v>
      </c>
      <c r="I157">
        <v>1</v>
      </c>
      <c r="J157">
        <v>1800</v>
      </c>
      <c r="K157">
        <v>0.05</v>
      </c>
      <c r="L157">
        <v>1710</v>
      </c>
    </row>
    <row r="158" spans="1:12">
      <c r="A158" t="s">
        <v>226</v>
      </c>
      <c r="B158" s="1">
        <v>46128</v>
      </c>
      <c r="C158" t="s">
        <v>31</v>
      </c>
      <c r="D158" t="s">
        <v>21</v>
      </c>
      <c r="E158" t="s">
        <v>22</v>
      </c>
      <c r="F158" t="s">
        <v>73</v>
      </c>
      <c r="G158" t="s">
        <v>74</v>
      </c>
      <c r="H158" t="s">
        <v>33</v>
      </c>
      <c r="I158">
        <v>3</v>
      </c>
      <c r="J158">
        <v>8</v>
      </c>
      <c r="K158">
        <v>0</v>
      </c>
      <c r="L158">
        <v>24</v>
      </c>
    </row>
    <row r="159" spans="1:12">
      <c r="A159" t="s">
        <v>1597</v>
      </c>
      <c r="B159" s="1">
        <v>46175</v>
      </c>
      <c r="C159" t="s">
        <v>31</v>
      </c>
      <c r="D159" t="s">
        <v>14</v>
      </c>
      <c r="E159" t="s">
        <v>15</v>
      </c>
      <c r="F159" t="s">
        <v>60</v>
      </c>
      <c r="G159" t="s">
        <v>67</v>
      </c>
      <c r="H159" t="s">
        <v>39</v>
      </c>
      <c r="I159">
        <v>1</v>
      </c>
      <c r="J159">
        <v>1530</v>
      </c>
      <c r="K159">
        <v>0.05</v>
      </c>
      <c r="L159">
        <v>1453.5</v>
      </c>
    </row>
    <row r="160" spans="1:12">
      <c r="A160" t="s">
        <v>1590</v>
      </c>
      <c r="B160" s="1">
        <v>46352</v>
      </c>
      <c r="C160" t="s">
        <v>31</v>
      </c>
      <c r="D160" t="s">
        <v>21</v>
      </c>
      <c r="E160" t="s">
        <v>22</v>
      </c>
      <c r="F160" t="s">
        <v>23</v>
      </c>
      <c r="G160" t="s">
        <v>24</v>
      </c>
      <c r="H160" t="s">
        <v>79</v>
      </c>
      <c r="I160">
        <v>3</v>
      </c>
      <c r="J160">
        <v>90</v>
      </c>
      <c r="K160">
        <v>0.05</v>
      </c>
      <c r="L160">
        <v>256.5</v>
      </c>
    </row>
    <row r="161" spans="1:12">
      <c r="A161" t="s">
        <v>229</v>
      </c>
      <c r="B161" s="1">
        <v>46343</v>
      </c>
      <c r="C161" t="s">
        <v>31</v>
      </c>
      <c r="D161" t="s">
        <v>14</v>
      </c>
      <c r="E161" t="s">
        <v>15</v>
      </c>
      <c r="F161" t="s">
        <v>23</v>
      </c>
      <c r="G161" t="s">
        <v>138</v>
      </c>
      <c r="H161" t="s">
        <v>39</v>
      </c>
      <c r="I161">
        <v>5</v>
      </c>
      <c r="J161">
        <v>60</v>
      </c>
      <c r="K161">
        <v>0.05</v>
      </c>
      <c r="L161">
        <v>285</v>
      </c>
    </row>
    <row r="162" spans="1:12">
      <c r="A162" t="s">
        <v>230</v>
      </c>
      <c r="B162" s="1">
        <v>46365</v>
      </c>
      <c r="C162" t="s">
        <v>31</v>
      </c>
      <c r="D162" t="s">
        <v>14</v>
      </c>
      <c r="E162" t="s">
        <v>22</v>
      </c>
      <c r="F162" t="s">
        <v>60</v>
      </c>
      <c r="G162" t="s">
        <v>61</v>
      </c>
      <c r="H162" t="s">
        <v>39</v>
      </c>
      <c r="I162">
        <v>1</v>
      </c>
      <c r="J162">
        <v>850</v>
      </c>
      <c r="K162">
        <v>0.1</v>
      </c>
      <c r="L162">
        <v>765</v>
      </c>
    </row>
    <row r="163" spans="1:12">
      <c r="A163" t="s">
        <v>1580</v>
      </c>
      <c r="B163" s="1">
        <v>46230</v>
      </c>
      <c r="C163" t="s">
        <v>31</v>
      </c>
      <c r="D163" t="s">
        <v>14</v>
      </c>
      <c r="E163" t="s">
        <v>22</v>
      </c>
      <c r="F163" t="s">
        <v>16</v>
      </c>
      <c r="G163" t="s">
        <v>112</v>
      </c>
      <c r="H163" t="s">
        <v>39</v>
      </c>
      <c r="I163">
        <v>5</v>
      </c>
      <c r="J163">
        <v>65</v>
      </c>
      <c r="K163">
        <v>0.05</v>
      </c>
      <c r="L163">
        <v>308.75</v>
      </c>
    </row>
    <row r="164" spans="1:12">
      <c r="A164" t="s">
        <v>1578</v>
      </c>
      <c r="B164" s="1">
        <v>46095</v>
      </c>
      <c r="C164" t="s">
        <v>31</v>
      </c>
      <c r="D164" t="s">
        <v>21</v>
      </c>
      <c r="E164" t="s">
        <v>22</v>
      </c>
      <c r="F164" t="s">
        <v>16</v>
      </c>
      <c r="G164" t="s">
        <v>69</v>
      </c>
      <c r="H164" t="s">
        <v>33</v>
      </c>
      <c r="I164">
        <v>2</v>
      </c>
      <c r="J164">
        <v>56.1</v>
      </c>
      <c r="K164">
        <v>0.03</v>
      </c>
      <c r="L164">
        <v>108.834</v>
      </c>
    </row>
    <row r="165" spans="1:12">
      <c r="A165" t="s">
        <v>233</v>
      </c>
      <c r="B165" s="1">
        <v>46196</v>
      </c>
      <c r="C165" t="s">
        <v>31</v>
      </c>
      <c r="D165" t="s">
        <v>21</v>
      </c>
      <c r="E165" t="s">
        <v>22</v>
      </c>
      <c r="F165" t="s">
        <v>16</v>
      </c>
      <c r="G165" t="s">
        <v>65</v>
      </c>
      <c r="H165" t="s">
        <v>39</v>
      </c>
      <c r="I165">
        <v>2</v>
      </c>
      <c r="J165">
        <v>80</v>
      </c>
      <c r="K165">
        <v>0.1</v>
      </c>
      <c r="L165">
        <v>144</v>
      </c>
    </row>
    <row r="166" spans="1:12">
      <c r="A166" t="s">
        <v>1576</v>
      </c>
      <c r="B166" s="1">
        <v>46142</v>
      </c>
      <c r="C166" t="s">
        <v>31</v>
      </c>
      <c r="D166" t="s">
        <v>41</v>
      </c>
      <c r="E166" t="s">
        <v>15</v>
      </c>
      <c r="F166" t="s">
        <v>27</v>
      </c>
      <c r="G166" t="s">
        <v>36</v>
      </c>
      <c r="H166" t="s">
        <v>33</v>
      </c>
      <c r="I166">
        <v>6</v>
      </c>
      <c r="J166">
        <v>765</v>
      </c>
      <c r="K166">
        <v>0.05</v>
      </c>
      <c r="L166">
        <v>4360.5</v>
      </c>
    </row>
    <row r="167" spans="1:12">
      <c r="A167" t="s">
        <v>1574</v>
      </c>
      <c r="B167" s="1">
        <v>46285</v>
      </c>
      <c r="C167" t="s">
        <v>31</v>
      </c>
      <c r="D167" t="s">
        <v>14</v>
      </c>
      <c r="E167" t="s">
        <v>22</v>
      </c>
      <c r="F167" t="s">
        <v>23</v>
      </c>
      <c r="G167" t="s">
        <v>24</v>
      </c>
      <c r="H167" t="s">
        <v>79</v>
      </c>
      <c r="I167">
        <v>6</v>
      </c>
      <c r="J167">
        <v>95.4</v>
      </c>
      <c r="K167">
        <v>0.15</v>
      </c>
      <c r="L167">
        <v>486.54000000000008</v>
      </c>
    </row>
    <row r="168" spans="1:12">
      <c r="A168" t="s">
        <v>1567</v>
      </c>
      <c r="B168" s="1">
        <v>46217</v>
      </c>
      <c r="C168" t="s">
        <v>31</v>
      </c>
      <c r="D168" t="s">
        <v>41</v>
      </c>
      <c r="E168" t="s">
        <v>22</v>
      </c>
      <c r="F168" t="s">
        <v>23</v>
      </c>
      <c r="G168" t="s">
        <v>138</v>
      </c>
      <c r="H168" t="s">
        <v>33</v>
      </c>
      <c r="I168">
        <v>8</v>
      </c>
      <c r="J168">
        <v>61.2</v>
      </c>
      <c r="K168">
        <v>0.1</v>
      </c>
      <c r="L168">
        <v>440.64000000000004</v>
      </c>
    </row>
    <row r="169" spans="1:12">
      <c r="A169" t="s">
        <v>237</v>
      </c>
      <c r="B169" s="1">
        <v>46236</v>
      </c>
      <c r="C169" t="s">
        <v>31</v>
      </c>
      <c r="D169" t="s">
        <v>21</v>
      </c>
      <c r="E169" t="s">
        <v>22</v>
      </c>
      <c r="F169" t="s">
        <v>23</v>
      </c>
      <c r="G169" t="s">
        <v>24</v>
      </c>
      <c r="H169" t="s">
        <v>33</v>
      </c>
      <c r="I169">
        <v>3</v>
      </c>
      <c r="J169">
        <v>90</v>
      </c>
      <c r="K169">
        <v>0.1</v>
      </c>
      <c r="L169">
        <v>243</v>
      </c>
    </row>
    <row r="170" spans="1:12">
      <c r="A170" t="s">
        <v>1563</v>
      </c>
      <c r="B170" s="1">
        <v>46324</v>
      </c>
      <c r="C170" t="s">
        <v>31</v>
      </c>
      <c r="D170" t="s">
        <v>21</v>
      </c>
      <c r="E170" t="s">
        <v>22</v>
      </c>
      <c r="F170" t="s">
        <v>48</v>
      </c>
      <c r="G170" t="s">
        <v>96</v>
      </c>
      <c r="H170" t="s">
        <v>33</v>
      </c>
      <c r="I170">
        <v>1</v>
      </c>
      <c r="J170">
        <v>2500</v>
      </c>
      <c r="K170">
        <v>0.08</v>
      </c>
      <c r="L170">
        <v>2300</v>
      </c>
    </row>
    <row r="171" spans="1:12">
      <c r="A171" t="s">
        <v>1555</v>
      </c>
      <c r="B171" s="1">
        <v>46297</v>
      </c>
      <c r="C171" t="s">
        <v>31</v>
      </c>
      <c r="D171" t="s">
        <v>14</v>
      </c>
      <c r="E171" t="s">
        <v>22</v>
      </c>
      <c r="F171" t="s">
        <v>23</v>
      </c>
      <c r="G171" t="s">
        <v>24</v>
      </c>
      <c r="H171" t="s">
        <v>39</v>
      </c>
      <c r="I171">
        <v>2</v>
      </c>
      <c r="J171">
        <v>90</v>
      </c>
      <c r="K171">
        <v>0.03</v>
      </c>
      <c r="L171">
        <v>174.6</v>
      </c>
    </row>
    <row r="172" spans="1:12">
      <c r="A172" t="s">
        <v>240</v>
      </c>
      <c r="B172" s="1">
        <v>46381</v>
      </c>
      <c r="C172" t="s">
        <v>31</v>
      </c>
      <c r="D172" t="s">
        <v>21</v>
      </c>
      <c r="E172" t="s">
        <v>22</v>
      </c>
      <c r="F172" t="s">
        <v>16</v>
      </c>
      <c r="G172" t="s">
        <v>42</v>
      </c>
      <c r="H172" t="s">
        <v>39</v>
      </c>
      <c r="I172">
        <v>4</v>
      </c>
      <c r="J172">
        <v>45</v>
      </c>
      <c r="K172">
        <v>0.15</v>
      </c>
      <c r="L172">
        <v>153</v>
      </c>
    </row>
    <row r="173" spans="1:12">
      <c r="A173" t="s">
        <v>1553</v>
      </c>
      <c r="B173" s="1">
        <v>46096</v>
      </c>
      <c r="C173" t="s">
        <v>31</v>
      </c>
      <c r="D173" t="s">
        <v>41</v>
      </c>
      <c r="E173" t="s">
        <v>15</v>
      </c>
      <c r="F173" t="s">
        <v>27</v>
      </c>
      <c r="G173" t="s">
        <v>36</v>
      </c>
      <c r="H173" t="s">
        <v>33</v>
      </c>
      <c r="I173">
        <v>6</v>
      </c>
      <c r="J173">
        <v>750</v>
      </c>
      <c r="K173">
        <v>0.05</v>
      </c>
      <c r="L173">
        <v>4275</v>
      </c>
    </row>
    <row r="174" spans="1:12">
      <c r="A174" t="s">
        <v>1550</v>
      </c>
      <c r="B174" s="1">
        <v>46336</v>
      </c>
      <c r="C174" t="s">
        <v>31</v>
      </c>
      <c r="D174" t="s">
        <v>21</v>
      </c>
      <c r="E174" t="s">
        <v>22</v>
      </c>
      <c r="F174" t="s">
        <v>16</v>
      </c>
      <c r="G174" t="s">
        <v>57</v>
      </c>
      <c r="H174" t="s">
        <v>33</v>
      </c>
      <c r="I174">
        <v>4</v>
      </c>
      <c r="J174">
        <v>36.1</v>
      </c>
      <c r="K174">
        <v>0.05</v>
      </c>
      <c r="L174">
        <v>137.18</v>
      </c>
    </row>
    <row r="175" spans="1:12">
      <c r="A175" t="s">
        <v>243</v>
      </c>
      <c r="B175" s="1">
        <v>46347</v>
      </c>
      <c r="C175" t="s">
        <v>31</v>
      </c>
      <c r="D175" t="s">
        <v>21</v>
      </c>
      <c r="E175" t="s">
        <v>22</v>
      </c>
      <c r="F175" t="s">
        <v>73</v>
      </c>
      <c r="G175" t="s">
        <v>74</v>
      </c>
      <c r="H175" t="s">
        <v>79</v>
      </c>
      <c r="I175">
        <v>4</v>
      </c>
      <c r="J175">
        <v>8</v>
      </c>
      <c r="K175">
        <v>0.1</v>
      </c>
      <c r="L175">
        <v>28.8</v>
      </c>
    </row>
    <row r="176" spans="1:12">
      <c r="A176" t="s">
        <v>1549</v>
      </c>
      <c r="B176" s="1">
        <v>46251</v>
      </c>
      <c r="C176" t="s">
        <v>31</v>
      </c>
      <c r="D176" t="s">
        <v>14</v>
      </c>
      <c r="E176" t="s">
        <v>15</v>
      </c>
      <c r="F176" t="s">
        <v>48</v>
      </c>
      <c r="G176" t="s">
        <v>71</v>
      </c>
      <c r="H176" t="s">
        <v>39</v>
      </c>
      <c r="I176">
        <v>1</v>
      </c>
      <c r="J176">
        <v>3104</v>
      </c>
      <c r="K176">
        <v>0</v>
      </c>
      <c r="L176">
        <v>3104</v>
      </c>
    </row>
    <row r="177" spans="1:12">
      <c r="A177" t="s">
        <v>245</v>
      </c>
      <c r="B177" s="1">
        <v>46104</v>
      </c>
      <c r="C177" t="s">
        <v>31</v>
      </c>
      <c r="D177" t="s">
        <v>21</v>
      </c>
      <c r="E177" t="s">
        <v>22</v>
      </c>
      <c r="F177" t="s">
        <v>60</v>
      </c>
      <c r="G177" t="s">
        <v>91</v>
      </c>
      <c r="H177" t="s">
        <v>39</v>
      </c>
      <c r="I177">
        <v>2</v>
      </c>
      <c r="J177">
        <v>580</v>
      </c>
      <c r="K177">
        <v>0.05</v>
      </c>
      <c r="L177">
        <v>1102</v>
      </c>
    </row>
    <row r="178" spans="1:12">
      <c r="A178" t="s">
        <v>1540</v>
      </c>
      <c r="B178" s="1">
        <v>46366</v>
      </c>
      <c r="C178" t="s">
        <v>31</v>
      </c>
      <c r="D178" t="s">
        <v>41</v>
      </c>
      <c r="E178" t="s">
        <v>15</v>
      </c>
      <c r="F178" t="s">
        <v>23</v>
      </c>
      <c r="G178" t="s">
        <v>138</v>
      </c>
      <c r="H178" t="s">
        <v>33</v>
      </c>
      <c r="I178">
        <v>5</v>
      </c>
      <c r="J178">
        <v>60</v>
      </c>
      <c r="K178">
        <v>0.05</v>
      </c>
      <c r="L178">
        <v>285</v>
      </c>
    </row>
    <row r="179" spans="1:12">
      <c r="A179" t="s">
        <v>247</v>
      </c>
      <c r="B179" s="1">
        <v>46122</v>
      </c>
      <c r="C179" t="s">
        <v>31</v>
      </c>
      <c r="D179" t="s">
        <v>41</v>
      </c>
      <c r="E179" t="s">
        <v>15</v>
      </c>
      <c r="F179" t="s">
        <v>16</v>
      </c>
      <c r="G179" t="s">
        <v>112</v>
      </c>
      <c r="H179" t="s">
        <v>39</v>
      </c>
      <c r="I179">
        <v>2</v>
      </c>
      <c r="J179">
        <v>68.900000000000006</v>
      </c>
      <c r="K179">
        <v>0.05</v>
      </c>
      <c r="L179">
        <v>130.91</v>
      </c>
    </row>
    <row r="180" spans="1:12">
      <c r="A180" t="s">
        <v>1529</v>
      </c>
      <c r="B180" s="1">
        <v>46343</v>
      </c>
      <c r="C180" t="s">
        <v>31</v>
      </c>
      <c r="D180" t="s">
        <v>14</v>
      </c>
      <c r="E180" t="s">
        <v>22</v>
      </c>
      <c r="F180" t="s">
        <v>48</v>
      </c>
      <c r="G180" t="s">
        <v>96</v>
      </c>
      <c r="H180" t="s">
        <v>79</v>
      </c>
      <c r="I180">
        <v>2</v>
      </c>
      <c r="J180">
        <v>2600</v>
      </c>
      <c r="K180">
        <v>0.08</v>
      </c>
      <c r="L180">
        <v>4784</v>
      </c>
    </row>
    <row r="181" spans="1:12">
      <c r="A181" t="s">
        <v>1524</v>
      </c>
      <c r="B181" s="1">
        <v>46345</v>
      </c>
      <c r="C181" t="s">
        <v>31</v>
      </c>
      <c r="D181" t="s">
        <v>35</v>
      </c>
      <c r="E181" t="s">
        <v>22</v>
      </c>
      <c r="F181" t="s">
        <v>73</v>
      </c>
      <c r="G181" t="s">
        <v>145</v>
      </c>
      <c r="H181" t="s">
        <v>39</v>
      </c>
      <c r="I181">
        <v>2</v>
      </c>
      <c r="J181">
        <v>18.36</v>
      </c>
      <c r="K181">
        <v>0.1</v>
      </c>
      <c r="L181">
        <v>33.048000000000002</v>
      </c>
    </row>
    <row r="182" spans="1:12">
      <c r="A182" t="s">
        <v>1523</v>
      </c>
      <c r="B182" s="1">
        <v>46047</v>
      </c>
      <c r="C182" t="s">
        <v>31</v>
      </c>
      <c r="D182" t="s">
        <v>14</v>
      </c>
      <c r="E182" t="s">
        <v>22</v>
      </c>
      <c r="F182" t="s">
        <v>16</v>
      </c>
      <c r="G182" t="s">
        <v>17</v>
      </c>
      <c r="H182" t="s">
        <v>39</v>
      </c>
      <c r="I182">
        <v>1</v>
      </c>
      <c r="J182">
        <v>14.25</v>
      </c>
      <c r="K182">
        <v>0</v>
      </c>
      <c r="L182">
        <v>14.25</v>
      </c>
    </row>
    <row r="183" spans="1:12">
      <c r="A183" t="s">
        <v>1521</v>
      </c>
      <c r="B183" s="1">
        <v>46130</v>
      </c>
      <c r="C183" t="s">
        <v>31</v>
      </c>
      <c r="D183" t="s">
        <v>14</v>
      </c>
      <c r="E183" t="s">
        <v>22</v>
      </c>
      <c r="F183" t="s">
        <v>73</v>
      </c>
      <c r="G183" t="s">
        <v>81</v>
      </c>
      <c r="H183" t="s">
        <v>39</v>
      </c>
      <c r="I183">
        <v>5</v>
      </c>
      <c r="J183">
        <v>12</v>
      </c>
      <c r="K183">
        <v>0.03</v>
      </c>
      <c r="L183">
        <v>58.199999999999996</v>
      </c>
    </row>
    <row r="184" spans="1:12">
      <c r="A184" t="s">
        <v>252</v>
      </c>
      <c r="B184" s="1">
        <v>46163</v>
      </c>
      <c r="C184" t="s">
        <v>31</v>
      </c>
      <c r="D184" t="s">
        <v>35</v>
      </c>
      <c r="E184" t="s">
        <v>22</v>
      </c>
      <c r="F184" t="s">
        <v>48</v>
      </c>
      <c r="G184" t="s">
        <v>71</v>
      </c>
      <c r="H184" t="s">
        <v>79</v>
      </c>
      <c r="I184">
        <v>1</v>
      </c>
      <c r="J184">
        <v>3200</v>
      </c>
      <c r="K184">
        <v>0.15</v>
      </c>
      <c r="L184">
        <v>2720</v>
      </c>
    </row>
    <row r="185" spans="1:12">
      <c r="A185" t="s">
        <v>1518</v>
      </c>
      <c r="B185" s="1">
        <v>46353</v>
      </c>
      <c r="C185" t="s">
        <v>31</v>
      </c>
      <c r="D185" t="s">
        <v>21</v>
      </c>
      <c r="E185" t="s">
        <v>22</v>
      </c>
      <c r="F185" t="s">
        <v>60</v>
      </c>
      <c r="G185" t="s">
        <v>91</v>
      </c>
      <c r="H185" t="s">
        <v>79</v>
      </c>
      <c r="I185">
        <v>3</v>
      </c>
      <c r="J185">
        <v>562.6</v>
      </c>
      <c r="K185">
        <v>0.03</v>
      </c>
      <c r="L185">
        <v>1637.1660000000002</v>
      </c>
    </row>
    <row r="186" spans="1:12">
      <c r="A186" t="s">
        <v>1515</v>
      </c>
      <c r="B186" s="1">
        <v>46174</v>
      </c>
      <c r="C186" t="s">
        <v>31</v>
      </c>
      <c r="D186" t="s">
        <v>14</v>
      </c>
      <c r="E186" t="s">
        <v>15</v>
      </c>
      <c r="F186" t="s">
        <v>73</v>
      </c>
      <c r="G186" t="s">
        <v>145</v>
      </c>
      <c r="H186" t="s">
        <v>79</v>
      </c>
      <c r="I186">
        <v>1</v>
      </c>
      <c r="J186">
        <v>17.46</v>
      </c>
      <c r="K186">
        <v>0.03</v>
      </c>
      <c r="L186">
        <v>16.936199999999999</v>
      </c>
    </row>
    <row r="187" spans="1:12">
      <c r="A187" t="s">
        <v>1514</v>
      </c>
      <c r="B187" s="1">
        <v>46319</v>
      </c>
      <c r="C187" t="s">
        <v>31</v>
      </c>
      <c r="D187" t="s">
        <v>21</v>
      </c>
      <c r="E187" t="s">
        <v>22</v>
      </c>
      <c r="F187" t="s">
        <v>48</v>
      </c>
      <c r="G187" t="s">
        <v>49</v>
      </c>
      <c r="H187" t="s">
        <v>79</v>
      </c>
      <c r="I187">
        <v>1</v>
      </c>
      <c r="J187">
        <v>4200</v>
      </c>
      <c r="K187">
        <v>0.1</v>
      </c>
      <c r="L187">
        <v>3780</v>
      </c>
    </row>
    <row r="188" spans="1:12">
      <c r="A188" t="s">
        <v>1513</v>
      </c>
      <c r="B188" s="1">
        <v>46319</v>
      </c>
      <c r="C188" t="s">
        <v>31</v>
      </c>
      <c r="D188" t="s">
        <v>41</v>
      </c>
      <c r="E188" t="s">
        <v>15</v>
      </c>
      <c r="F188" t="s">
        <v>16</v>
      </c>
      <c r="G188" t="s">
        <v>42</v>
      </c>
      <c r="H188" t="s">
        <v>79</v>
      </c>
      <c r="I188">
        <v>1</v>
      </c>
      <c r="J188">
        <v>47.7</v>
      </c>
      <c r="K188">
        <v>0.03</v>
      </c>
      <c r="L188">
        <v>46.268999999999998</v>
      </c>
    </row>
    <row r="189" spans="1:12">
      <c r="A189" t="s">
        <v>1506</v>
      </c>
      <c r="B189" s="1">
        <v>46337</v>
      </c>
      <c r="C189" t="s">
        <v>31</v>
      </c>
      <c r="D189" t="s">
        <v>14</v>
      </c>
      <c r="E189" t="s">
        <v>22</v>
      </c>
      <c r="F189" t="s">
        <v>16</v>
      </c>
      <c r="G189" t="s">
        <v>57</v>
      </c>
      <c r="H189" t="s">
        <v>79</v>
      </c>
      <c r="I189">
        <v>1</v>
      </c>
      <c r="J189">
        <v>40.28</v>
      </c>
      <c r="K189">
        <v>0.2</v>
      </c>
      <c r="L189">
        <v>32.224000000000004</v>
      </c>
    </row>
    <row r="190" spans="1:12">
      <c r="A190" t="s">
        <v>1501</v>
      </c>
      <c r="B190" s="1">
        <v>46278</v>
      </c>
      <c r="C190" t="s">
        <v>31</v>
      </c>
      <c r="D190" t="s">
        <v>41</v>
      </c>
      <c r="E190" t="s">
        <v>22</v>
      </c>
      <c r="F190" t="s">
        <v>27</v>
      </c>
      <c r="G190" t="s">
        <v>32</v>
      </c>
      <c r="H190" t="s">
        <v>39</v>
      </c>
      <c r="I190">
        <v>4</v>
      </c>
      <c r="J190">
        <v>280</v>
      </c>
      <c r="K190">
        <v>0.08</v>
      </c>
      <c r="L190">
        <v>1030.4000000000001</v>
      </c>
    </row>
    <row r="191" spans="1:12">
      <c r="A191" t="s">
        <v>1499</v>
      </c>
      <c r="B191" s="1">
        <v>46090</v>
      </c>
      <c r="C191" t="s">
        <v>31</v>
      </c>
      <c r="D191" t="s">
        <v>35</v>
      </c>
      <c r="E191" t="s">
        <v>22</v>
      </c>
      <c r="F191" t="s">
        <v>73</v>
      </c>
      <c r="G191" t="s">
        <v>127</v>
      </c>
      <c r="H191" t="s">
        <v>33</v>
      </c>
      <c r="I191">
        <v>5</v>
      </c>
      <c r="J191">
        <v>26.5</v>
      </c>
      <c r="K191">
        <v>0.1</v>
      </c>
      <c r="L191">
        <v>119.25</v>
      </c>
    </row>
    <row r="192" spans="1:12">
      <c r="A192" t="s">
        <v>260</v>
      </c>
      <c r="B192" s="1">
        <v>46353</v>
      </c>
      <c r="C192" t="s">
        <v>31</v>
      </c>
      <c r="D192" t="s">
        <v>14</v>
      </c>
      <c r="E192" t="s">
        <v>22</v>
      </c>
      <c r="F192" t="s">
        <v>73</v>
      </c>
      <c r="G192" t="s">
        <v>127</v>
      </c>
      <c r="H192" t="s">
        <v>39</v>
      </c>
      <c r="I192">
        <v>3</v>
      </c>
      <c r="J192">
        <v>26.5</v>
      </c>
      <c r="K192">
        <v>0.08</v>
      </c>
      <c r="L192">
        <v>73.14</v>
      </c>
    </row>
    <row r="193" spans="1:12">
      <c r="A193" t="s">
        <v>1496</v>
      </c>
      <c r="B193" s="1">
        <v>46157</v>
      </c>
      <c r="C193" t="s">
        <v>31</v>
      </c>
      <c r="D193" t="s">
        <v>35</v>
      </c>
      <c r="E193" t="s">
        <v>22</v>
      </c>
      <c r="F193" t="s">
        <v>27</v>
      </c>
      <c r="G193" t="s">
        <v>28</v>
      </c>
      <c r="H193" t="s">
        <v>33</v>
      </c>
      <c r="I193">
        <v>6</v>
      </c>
      <c r="J193">
        <v>20.8</v>
      </c>
      <c r="K193">
        <v>0.08</v>
      </c>
      <c r="L193">
        <v>114.81600000000002</v>
      </c>
    </row>
    <row r="194" spans="1:12">
      <c r="A194" t="s">
        <v>1495</v>
      </c>
      <c r="B194" s="1">
        <v>46035</v>
      </c>
      <c r="C194" t="s">
        <v>31</v>
      </c>
      <c r="D194" t="s">
        <v>14</v>
      </c>
      <c r="E194" t="s">
        <v>22</v>
      </c>
      <c r="F194" t="s">
        <v>60</v>
      </c>
      <c r="G194" t="s">
        <v>61</v>
      </c>
      <c r="H194" t="s">
        <v>79</v>
      </c>
      <c r="I194">
        <v>3</v>
      </c>
      <c r="J194">
        <v>824.5</v>
      </c>
      <c r="K194">
        <v>0</v>
      </c>
      <c r="L194">
        <v>2473.5</v>
      </c>
    </row>
    <row r="195" spans="1:12">
      <c r="A195" t="s">
        <v>1493</v>
      </c>
      <c r="B195" s="1">
        <v>46263</v>
      </c>
      <c r="C195" t="s">
        <v>31</v>
      </c>
      <c r="D195" t="s">
        <v>21</v>
      </c>
      <c r="E195" t="s">
        <v>22</v>
      </c>
      <c r="F195" t="s">
        <v>60</v>
      </c>
      <c r="G195" t="s">
        <v>91</v>
      </c>
      <c r="H195" t="s">
        <v>39</v>
      </c>
      <c r="I195">
        <v>2</v>
      </c>
      <c r="J195">
        <v>603.20000000000005</v>
      </c>
      <c r="K195">
        <v>0.1</v>
      </c>
      <c r="L195">
        <v>1085.7600000000002</v>
      </c>
    </row>
    <row r="196" spans="1:12">
      <c r="A196" t="s">
        <v>1492</v>
      </c>
      <c r="B196" s="1">
        <v>46247</v>
      </c>
      <c r="C196" t="s">
        <v>31</v>
      </c>
      <c r="D196" t="s">
        <v>21</v>
      </c>
      <c r="E196" t="s">
        <v>15</v>
      </c>
      <c r="F196" t="s">
        <v>48</v>
      </c>
      <c r="G196" t="s">
        <v>99</v>
      </c>
      <c r="H196" t="s">
        <v>79</v>
      </c>
      <c r="I196">
        <v>3</v>
      </c>
      <c r="J196">
        <v>3120</v>
      </c>
      <c r="K196">
        <v>0.03</v>
      </c>
      <c r="L196">
        <v>9079.1999999999989</v>
      </c>
    </row>
    <row r="197" spans="1:12">
      <c r="A197" t="s">
        <v>1491</v>
      </c>
      <c r="B197" s="1">
        <v>46217</v>
      </c>
      <c r="C197" t="s">
        <v>31</v>
      </c>
      <c r="D197" t="s">
        <v>21</v>
      </c>
      <c r="E197" t="s">
        <v>15</v>
      </c>
      <c r="F197" t="s">
        <v>73</v>
      </c>
      <c r="G197" t="s">
        <v>81</v>
      </c>
      <c r="H197" t="s">
        <v>79</v>
      </c>
      <c r="I197">
        <v>3</v>
      </c>
      <c r="J197">
        <v>12.72</v>
      </c>
      <c r="K197">
        <v>0</v>
      </c>
      <c r="L197">
        <v>38.160000000000004</v>
      </c>
    </row>
    <row r="198" spans="1:12">
      <c r="A198" t="s">
        <v>1486</v>
      </c>
      <c r="B198" s="1">
        <v>46146</v>
      </c>
      <c r="C198" t="s">
        <v>31</v>
      </c>
      <c r="D198" t="s">
        <v>14</v>
      </c>
      <c r="E198" t="s">
        <v>22</v>
      </c>
      <c r="F198" t="s">
        <v>16</v>
      </c>
      <c r="G198" t="s">
        <v>57</v>
      </c>
      <c r="H198" t="s">
        <v>39</v>
      </c>
      <c r="I198">
        <v>5</v>
      </c>
      <c r="J198">
        <v>38</v>
      </c>
      <c r="K198">
        <v>0.05</v>
      </c>
      <c r="L198">
        <v>180.5</v>
      </c>
    </row>
    <row r="199" spans="1:12">
      <c r="A199" t="s">
        <v>1485</v>
      </c>
      <c r="B199" s="1">
        <v>46165</v>
      </c>
      <c r="C199" t="s">
        <v>31</v>
      </c>
      <c r="D199" t="s">
        <v>14</v>
      </c>
      <c r="E199" t="s">
        <v>22</v>
      </c>
      <c r="F199" t="s">
        <v>60</v>
      </c>
      <c r="G199" t="s">
        <v>91</v>
      </c>
      <c r="H199" t="s">
        <v>33</v>
      </c>
      <c r="I199">
        <v>1</v>
      </c>
      <c r="J199">
        <v>591.6</v>
      </c>
      <c r="K199">
        <v>0.2</v>
      </c>
      <c r="L199">
        <v>473.28000000000003</v>
      </c>
    </row>
    <row r="200" spans="1:12">
      <c r="A200" t="s">
        <v>268</v>
      </c>
      <c r="B200" s="1">
        <v>46115</v>
      </c>
      <c r="C200" t="s">
        <v>31</v>
      </c>
      <c r="D200" t="s">
        <v>14</v>
      </c>
      <c r="E200" t="s">
        <v>22</v>
      </c>
      <c r="F200" t="s">
        <v>23</v>
      </c>
      <c r="G200" t="s">
        <v>52</v>
      </c>
      <c r="H200" t="s">
        <v>79</v>
      </c>
      <c r="I200">
        <v>4</v>
      </c>
      <c r="J200">
        <v>450</v>
      </c>
      <c r="K200">
        <v>0.05</v>
      </c>
      <c r="L200">
        <v>1710</v>
      </c>
    </row>
    <row r="201" spans="1:12">
      <c r="A201" t="s">
        <v>1479</v>
      </c>
      <c r="B201" s="1">
        <v>46308</v>
      </c>
      <c r="C201" t="s">
        <v>31</v>
      </c>
      <c r="D201" t="s">
        <v>14</v>
      </c>
      <c r="E201" t="s">
        <v>22</v>
      </c>
      <c r="F201" t="s">
        <v>23</v>
      </c>
      <c r="G201" t="s">
        <v>52</v>
      </c>
      <c r="H201" t="s">
        <v>33</v>
      </c>
      <c r="I201">
        <v>5</v>
      </c>
      <c r="J201">
        <v>450</v>
      </c>
      <c r="K201">
        <v>0.15</v>
      </c>
      <c r="L201">
        <v>1912.5</v>
      </c>
    </row>
    <row r="202" spans="1:12">
      <c r="A202" t="s">
        <v>270</v>
      </c>
      <c r="B202" s="1">
        <v>46141</v>
      </c>
      <c r="C202" t="s">
        <v>31</v>
      </c>
      <c r="D202" t="s">
        <v>35</v>
      </c>
      <c r="E202" t="s">
        <v>15</v>
      </c>
      <c r="F202" t="s">
        <v>48</v>
      </c>
      <c r="G202" t="s">
        <v>71</v>
      </c>
      <c r="H202" t="s">
        <v>33</v>
      </c>
      <c r="I202">
        <v>1</v>
      </c>
      <c r="J202">
        <v>3200</v>
      </c>
      <c r="K202">
        <v>0.05</v>
      </c>
      <c r="L202">
        <v>3040</v>
      </c>
    </row>
    <row r="203" spans="1:12">
      <c r="A203" t="s">
        <v>1478</v>
      </c>
      <c r="B203" s="1">
        <v>46344</v>
      </c>
      <c r="C203" t="s">
        <v>31</v>
      </c>
      <c r="D203" t="s">
        <v>41</v>
      </c>
      <c r="E203" t="s">
        <v>22</v>
      </c>
      <c r="F203" t="s">
        <v>48</v>
      </c>
      <c r="G203" t="s">
        <v>54</v>
      </c>
      <c r="H203" t="s">
        <v>39</v>
      </c>
      <c r="I203">
        <v>2</v>
      </c>
      <c r="J203">
        <v>1872</v>
      </c>
      <c r="K203">
        <v>0.08</v>
      </c>
      <c r="L203">
        <v>3444.48</v>
      </c>
    </row>
    <row r="204" spans="1:12">
      <c r="A204" t="s">
        <v>272</v>
      </c>
      <c r="B204" s="1">
        <v>46201</v>
      </c>
      <c r="C204" t="s">
        <v>31</v>
      </c>
      <c r="D204" t="s">
        <v>41</v>
      </c>
      <c r="E204" t="s">
        <v>15</v>
      </c>
      <c r="F204" t="s">
        <v>60</v>
      </c>
      <c r="G204" t="s">
        <v>91</v>
      </c>
      <c r="H204" t="s">
        <v>79</v>
      </c>
      <c r="I204">
        <v>4</v>
      </c>
      <c r="J204">
        <v>603.20000000000005</v>
      </c>
      <c r="K204">
        <v>0.08</v>
      </c>
      <c r="L204">
        <v>2219.7760000000003</v>
      </c>
    </row>
    <row r="205" spans="1:12">
      <c r="A205" t="s">
        <v>273</v>
      </c>
      <c r="B205" s="1">
        <v>46182</v>
      </c>
      <c r="C205" t="s">
        <v>31</v>
      </c>
      <c r="D205" t="s">
        <v>35</v>
      </c>
      <c r="E205" t="s">
        <v>22</v>
      </c>
      <c r="F205" t="s">
        <v>27</v>
      </c>
      <c r="G205" t="s">
        <v>32</v>
      </c>
      <c r="H205" t="s">
        <v>39</v>
      </c>
      <c r="I205">
        <v>2</v>
      </c>
      <c r="J205">
        <v>280</v>
      </c>
      <c r="K205">
        <v>0.08</v>
      </c>
      <c r="L205">
        <v>515.20000000000005</v>
      </c>
    </row>
    <row r="206" spans="1:12">
      <c r="A206" t="s">
        <v>274</v>
      </c>
      <c r="B206" s="1">
        <v>46262</v>
      </c>
      <c r="C206" t="s">
        <v>31</v>
      </c>
      <c r="D206" t="s">
        <v>41</v>
      </c>
      <c r="E206" t="s">
        <v>22</v>
      </c>
      <c r="F206" t="s">
        <v>23</v>
      </c>
      <c r="G206" t="s">
        <v>38</v>
      </c>
      <c r="H206" t="s">
        <v>33</v>
      </c>
      <c r="I206">
        <v>1</v>
      </c>
      <c r="J206">
        <v>339.2</v>
      </c>
      <c r="K206">
        <v>0.15</v>
      </c>
      <c r="L206">
        <v>288.32</v>
      </c>
    </row>
    <row r="207" spans="1:12">
      <c r="A207" t="s">
        <v>275</v>
      </c>
      <c r="B207" s="1">
        <v>46357</v>
      </c>
      <c r="C207" t="s">
        <v>31</v>
      </c>
      <c r="D207" t="s">
        <v>14</v>
      </c>
      <c r="E207" t="s">
        <v>22</v>
      </c>
      <c r="F207" t="s">
        <v>23</v>
      </c>
      <c r="G207" t="s">
        <v>24</v>
      </c>
      <c r="H207" t="s">
        <v>33</v>
      </c>
      <c r="I207">
        <v>4</v>
      </c>
      <c r="J207">
        <v>90</v>
      </c>
      <c r="K207">
        <v>0.1</v>
      </c>
      <c r="L207">
        <v>324</v>
      </c>
    </row>
    <row r="208" spans="1:12">
      <c r="A208" t="s">
        <v>1470</v>
      </c>
      <c r="B208" s="1">
        <v>46129</v>
      </c>
      <c r="C208" t="s">
        <v>31</v>
      </c>
      <c r="D208" t="s">
        <v>14</v>
      </c>
      <c r="E208" t="s">
        <v>22</v>
      </c>
      <c r="F208" t="s">
        <v>16</v>
      </c>
      <c r="G208" t="s">
        <v>42</v>
      </c>
      <c r="H208" t="s">
        <v>33</v>
      </c>
      <c r="I208">
        <v>1</v>
      </c>
      <c r="J208">
        <v>46.8</v>
      </c>
      <c r="K208">
        <v>0</v>
      </c>
      <c r="L208">
        <v>46.8</v>
      </c>
    </row>
    <row r="209" spans="1:12">
      <c r="A209" t="s">
        <v>1467</v>
      </c>
      <c r="B209" s="1">
        <v>46254</v>
      </c>
      <c r="C209" t="s">
        <v>31</v>
      </c>
      <c r="D209" t="s">
        <v>35</v>
      </c>
      <c r="E209" t="s">
        <v>22</v>
      </c>
      <c r="F209" t="s">
        <v>16</v>
      </c>
      <c r="G209" t="s">
        <v>17</v>
      </c>
      <c r="H209" t="s">
        <v>79</v>
      </c>
      <c r="I209">
        <v>7</v>
      </c>
      <c r="J209">
        <v>15</v>
      </c>
      <c r="K209">
        <v>0.1</v>
      </c>
      <c r="L209">
        <v>94.5</v>
      </c>
    </row>
    <row r="210" spans="1:12">
      <c r="A210" t="s">
        <v>1461</v>
      </c>
      <c r="B210" s="1">
        <v>46284</v>
      </c>
      <c r="C210" t="s">
        <v>31</v>
      </c>
      <c r="D210" t="s">
        <v>21</v>
      </c>
      <c r="E210" t="s">
        <v>22</v>
      </c>
      <c r="F210" t="s">
        <v>27</v>
      </c>
      <c r="G210" t="s">
        <v>28</v>
      </c>
      <c r="H210" t="s">
        <v>33</v>
      </c>
      <c r="I210">
        <v>6</v>
      </c>
      <c r="J210">
        <v>20</v>
      </c>
      <c r="K210">
        <v>0.08</v>
      </c>
      <c r="L210">
        <v>110.4</v>
      </c>
    </row>
    <row r="211" spans="1:12">
      <c r="A211" t="s">
        <v>1460</v>
      </c>
      <c r="B211" s="1">
        <v>46084</v>
      </c>
      <c r="C211" t="s">
        <v>31</v>
      </c>
      <c r="D211" t="s">
        <v>41</v>
      </c>
      <c r="E211" t="s">
        <v>15</v>
      </c>
      <c r="F211" t="s">
        <v>27</v>
      </c>
      <c r="G211" t="s">
        <v>36</v>
      </c>
      <c r="H211" t="s">
        <v>33</v>
      </c>
      <c r="I211">
        <v>4</v>
      </c>
      <c r="J211">
        <v>750</v>
      </c>
      <c r="K211">
        <v>0.05</v>
      </c>
      <c r="L211">
        <v>2850</v>
      </c>
    </row>
    <row r="212" spans="1:12">
      <c r="A212" t="s">
        <v>1458</v>
      </c>
      <c r="B212" s="1">
        <v>46073</v>
      </c>
      <c r="C212" t="s">
        <v>31</v>
      </c>
      <c r="D212" t="s">
        <v>14</v>
      </c>
      <c r="E212" t="s">
        <v>22</v>
      </c>
      <c r="F212" t="s">
        <v>48</v>
      </c>
      <c r="G212" t="s">
        <v>96</v>
      </c>
      <c r="H212" t="s">
        <v>39</v>
      </c>
      <c r="I212">
        <v>2</v>
      </c>
      <c r="J212">
        <v>2650</v>
      </c>
      <c r="K212">
        <v>0.05</v>
      </c>
      <c r="L212">
        <v>5035</v>
      </c>
    </row>
    <row r="213" spans="1:12">
      <c r="A213" t="s">
        <v>1456</v>
      </c>
      <c r="B213" s="1">
        <v>46072</v>
      </c>
      <c r="C213" t="s">
        <v>31</v>
      </c>
      <c r="D213" t="s">
        <v>14</v>
      </c>
      <c r="E213" t="s">
        <v>15</v>
      </c>
      <c r="F213" t="s">
        <v>27</v>
      </c>
      <c r="G213" t="s">
        <v>36</v>
      </c>
      <c r="H213" t="s">
        <v>33</v>
      </c>
      <c r="I213">
        <v>5</v>
      </c>
      <c r="J213">
        <v>780</v>
      </c>
      <c r="K213">
        <v>0.05</v>
      </c>
      <c r="L213">
        <v>3705</v>
      </c>
    </row>
    <row r="214" spans="1:12">
      <c r="A214" t="s">
        <v>1451</v>
      </c>
      <c r="B214" s="1">
        <v>46120</v>
      </c>
      <c r="C214" t="s">
        <v>31</v>
      </c>
      <c r="D214" t="s">
        <v>21</v>
      </c>
      <c r="E214" t="s">
        <v>22</v>
      </c>
      <c r="F214" t="s">
        <v>16</v>
      </c>
      <c r="G214" t="s">
        <v>57</v>
      </c>
      <c r="H214" t="s">
        <v>79</v>
      </c>
      <c r="I214">
        <v>2</v>
      </c>
      <c r="J214">
        <v>36.1</v>
      </c>
      <c r="K214">
        <v>0.1</v>
      </c>
      <c r="L214">
        <v>64.98</v>
      </c>
    </row>
    <row r="215" spans="1:12">
      <c r="A215" t="s">
        <v>283</v>
      </c>
      <c r="B215" s="1">
        <v>46213</v>
      </c>
      <c r="C215" t="s">
        <v>31</v>
      </c>
      <c r="D215" t="s">
        <v>41</v>
      </c>
      <c r="E215" t="s">
        <v>22</v>
      </c>
      <c r="F215" t="s">
        <v>73</v>
      </c>
      <c r="G215" t="s">
        <v>81</v>
      </c>
      <c r="H215" t="s">
        <v>79</v>
      </c>
      <c r="I215">
        <v>6</v>
      </c>
      <c r="J215">
        <v>11.64</v>
      </c>
      <c r="K215">
        <v>0.08</v>
      </c>
      <c r="L215">
        <v>64.252800000000008</v>
      </c>
    </row>
    <row r="216" spans="1:12">
      <c r="A216" t="s">
        <v>1445</v>
      </c>
      <c r="B216" s="1">
        <v>46100</v>
      </c>
      <c r="C216" t="s">
        <v>31</v>
      </c>
      <c r="D216" t="s">
        <v>35</v>
      </c>
      <c r="E216" t="s">
        <v>22</v>
      </c>
      <c r="F216" t="s">
        <v>60</v>
      </c>
      <c r="G216" t="s">
        <v>67</v>
      </c>
      <c r="H216" t="s">
        <v>79</v>
      </c>
      <c r="I216">
        <v>1</v>
      </c>
      <c r="J216">
        <v>1500</v>
      </c>
      <c r="K216">
        <v>0</v>
      </c>
      <c r="L216">
        <v>1500</v>
      </c>
    </row>
    <row r="217" spans="1:12">
      <c r="A217" t="s">
        <v>1444</v>
      </c>
      <c r="B217" s="1">
        <v>46270</v>
      </c>
      <c r="C217" t="s">
        <v>31</v>
      </c>
      <c r="D217" t="s">
        <v>41</v>
      </c>
      <c r="E217" t="s">
        <v>15</v>
      </c>
      <c r="F217" t="s">
        <v>48</v>
      </c>
      <c r="G217" t="s">
        <v>49</v>
      </c>
      <c r="H217" t="s">
        <v>79</v>
      </c>
      <c r="I217">
        <v>1</v>
      </c>
      <c r="J217">
        <v>4200</v>
      </c>
      <c r="K217">
        <v>0.05</v>
      </c>
      <c r="L217">
        <v>3990</v>
      </c>
    </row>
    <row r="218" spans="1:12">
      <c r="A218" t="s">
        <v>286</v>
      </c>
      <c r="B218" s="1">
        <v>46288</v>
      </c>
      <c r="C218" t="s">
        <v>31</v>
      </c>
      <c r="D218" t="s">
        <v>21</v>
      </c>
      <c r="E218" t="s">
        <v>22</v>
      </c>
      <c r="F218" t="s">
        <v>73</v>
      </c>
      <c r="G218" t="s">
        <v>74</v>
      </c>
      <c r="H218" t="s">
        <v>79</v>
      </c>
      <c r="I218">
        <v>6</v>
      </c>
      <c r="J218">
        <v>7.76</v>
      </c>
      <c r="K218">
        <v>0.15</v>
      </c>
      <c r="L218">
        <v>39.576000000000001</v>
      </c>
    </row>
    <row r="219" spans="1:12">
      <c r="A219" t="s">
        <v>1441</v>
      </c>
      <c r="B219" s="1">
        <v>46085</v>
      </c>
      <c r="C219" t="s">
        <v>31</v>
      </c>
      <c r="D219" t="s">
        <v>35</v>
      </c>
      <c r="E219" t="s">
        <v>15</v>
      </c>
      <c r="F219" t="s">
        <v>16</v>
      </c>
      <c r="G219" t="s">
        <v>112</v>
      </c>
      <c r="H219" t="s">
        <v>39</v>
      </c>
      <c r="I219">
        <v>2</v>
      </c>
      <c r="J219">
        <v>66.3</v>
      </c>
      <c r="K219">
        <v>0.05</v>
      </c>
      <c r="L219">
        <v>125.96999999999998</v>
      </c>
    </row>
    <row r="220" spans="1:12">
      <c r="A220" t="s">
        <v>288</v>
      </c>
      <c r="B220" s="1">
        <v>46375</v>
      </c>
      <c r="C220" t="s">
        <v>31</v>
      </c>
      <c r="D220" t="s">
        <v>41</v>
      </c>
      <c r="E220" t="s">
        <v>22</v>
      </c>
      <c r="F220" t="s">
        <v>27</v>
      </c>
      <c r="G220" t="s">
        <v>28</v>
      </c>
      <c r="H220" t="s">
        <v>33</v>
      </c>
      <c r="I220">
        <v>3</v>
      </c>
      <c r="J220">
        <v>20</v>
      </c>
      <c r="K220">
        <v>0.1</v>
      </c>
      <c r="L220">
        <v>54</v>
      </c>
    </row>
    <row r="221" spans="1:12">
      <c r="A221" t="s">
        <v>1438</v>
      </c>
      <c r="B221" s="1">
        <v>46110</v>
      </c>
      <c r="C221" t="s">
        <v>31</v>
      </c>
      <c r="D221" t="s">
        <v>21</v>
      </c>
      <c r="E221" t="s">
        <v>22</v>
      </c>
      <c r="F221" t="s">
        <v>60</v>
      </c>
      <c r="G221" t="s">
        <v>76</v>
      </c>
      <c r="H221" t="s">
        <v>33</v>
      </c>
      <c r="I221">
        <v>3</v>
      </c>
      <c r="J221">
        <v>714</v>
      </c>
      <c r="K221">
        <v>0.05</v>
      </c>
      <c r="L221">
        <v>2034.8999999999999</v>
      </c>
    </row>
    <row r="222" spans="1:12">
      <c r="A222" t="s">
        <v>1437</v>
      </c>
      <c r="B222" s="1">
        <v>46228</v>
      </c>
      <c r="C222" t="s">
        <v>31</v>
      </c>
      <c r="D222" t="s">
        <v>21</v>
      </c>
      <c r="E222" t="s">
        <v>22</v>
      </c>
      <c r="F222" t="s">
        <v>16</v>
      </c>
      <c r="G222" t="s">
        <v>65</v>
      </c>
      <c r="H222" t="s">
        <v>79</v>
      </c>
      <c r="I222">
        <v>3</v>
      </c>
      <c r="J222">
        <v>80</v>
      </c>
      <c r="K222">
        <v>0.03</v>
      </c>
      <c r="L222">
        <v>232.79999999999998</v>
      </c>
    </row>
    <row r="223" spans="1:12">
      <c r="A223" t="s">
        <v>1436</v>
      </c>
      <c r="B223" s="1">
        <v>46333</v>
      </c>
      <c r="C223" t="s">
        <v>31</v>
      </c>
      <c r="D223" t="s">
        <v>41</v>
      </c>
      <c r="E223" t="s">
        <v>22</v>
      </c>
      <c r="F223" t="s">
        <v>16</v>
      </c>
      <c r="G223" t="s">
        <v>69</v>
      </c>
      <c r="H223" t="s">
        <v>33</v>
      </c>
      <c r="I223">
        <v>2</v>
      </c>
      <c r="J223">
        <v>57.2</v>
      </c>
      <c r="K223">
        <v>0.08</v>
      </c>
      <c r="L223">
        <v>105.248</v>
      </c>
    </row>
    <row r="224" spans="1:12">
      <c r="A224" t="s">
        <v>1434</v>
      </c>
      <c r="B224" s="1">
        <v>46035</v>
      </c>
      <c r="C224" t="s">
        <v>31</v>
      </c>
      <c r="D224" t="s">
        <v>14</v>
      </c>
      <c r="E224" t="s">
        <v>22</v>
      </c>
      <c r="F224" t="s">
        <v>60</v>
      </c>
      <c r="G224" t="s">
        <v>76</v>
      </c>
      <c r="H224" t="s">
        <v>39</v>
      </c>
      <c r="I224">
        <v>3</v>
      </c>
      <c r="J224">
        <v>728</v>
      </c>
      <c r="K224">
        <v>0.05</v>
      </c>
      <c r="L224">
        <v>2074.7999999999997</v>
      </c>
    </row>
    <row r="225" spans="1:12">
      <c r="A225" t="s">
        <v>1429</v>
      </c>
      <c r="B225" s="1">
        <v>46142</v>
      </c>
      <c r="C225" t="s">
        <v>31</v>
      </c>
      <c r="D225" t="s">
        <v>21</v>
      </c>
      <c r="E225" t="s">
        <v>15</v>
      </c>
      <c r="F225" t="s">
        <v>16</v>
      </c>
      <c r="G225" t="s">
        <v>42</v>
      </c>
      <c r="H225" t="s">
        <v>39</v>
      </c>
      <c r="I225">
        <v>3</v>
      </c>
      <c r="J225">
        <v>42.75</v>
      </c>
      <c r="K225">
        <v>0.08</v>
      </c>
      <c r="L225">
        <v>117.99000000000001</v>
      </c>
    </row>
    <row r="226" spans="1:12">
      <c r="A226" t="s">
        <v>1428</v>
      </c>
      <c r="B226" s="1">
        <v>46271</v>
      </c>
      <c r="C226" t="s">
        <v>31</v>
      </c>
      <c r="D226" t="s">
        <v>35</v>
      </c>
      <c r="E226" t="s">
        <v>15</v>
      </c>
      <c r="F226" t="s">
        <v>16</v>
      </c>
      <c r="G226" t="s">
        <v>57</v>
      </c>
      <c r="H226" t="s">
        <v>33</v>
      </c>
      <c r="I226">
        <v>4</v>
      </c>
      <c r="J226">
        <v>40.28</v>
      </c>
      <c r="K226">
        <v>0.03</v>
      </c>
      <c r="L226">
        <v>156.28639999999999</v>
      </c>
    </row>
    <row r="227" spans="1:12">
      <c r="A227" t="s">
        <v>295</v>
      </c>
      <c r="B227" s="1">
        <v>46128</v>
      </c>
      <c r="C227" t="s">
        <v>31</v>
      </c>
      <c r="D227" t="s">
        <v>14</v>
      </c>
      <c r="E227" t="s">
        <v>15</v>
      </c>
      <c r="F227" t="s">
        <v>16</v>
      </c>
      <c r="G227" t="s">
        <v>42</v>
      </c>
      <c r="H227" t="s">
        <v>39</v>
      </c>
      <c r="I227">
        <v>2</v>
      </c>
      <c r="J227">
        <v>45.9</v>
      </c>
      <c r="K227">
        <v>0</v>
      </c>
      <c r="L227">
        <v>91.8</v>
      </c>
    </row>
    <row r="228" spans="1:12">
      <c r="A228" t="s">
        <v>296</v>
      </c>
      <c r="B228" s="1">
        <v>46223</v>
      </c>
      <c r="C228" t="s">
        <v>31</v>
      </c>
      <c r="D228" t="s">
        <v>14</v>
      </c>
      <c r="E228" t="s">
        <v>15</v>
      </c>
      <c r="F228" t="s">
        <v>27</v>
      </c>
      <c r="G228" t="s">
        <v>28</v>
      </c>
      <c r="H228" t="s">
        <v>33</v>
      </c>
      <c r="I228">
        <v>5</v>
      </c>
      <c r="J228">
        <v>20.8</v>
      </c>
      <c r="K228">
        <v>0.03</v>
      </c>
      <c r="L228">
        <v>100.88</v>
      </c>
    </row>
    <row r="229" spans="1:12">
      <c r="A229" t="s">
        <v>1420</v>
      </c>
      <c r="B229" s="1">
        <v>46330</v>
      </c>
      <c r="C229" t="s">
        <v>31</v>
      </c>
      <c r="D229" t="s">
        <v>41</v>
      </c>
      <c r="E229" t="s">
        <v>15</v>
      </c>
      <c r="F229" t="s">
        <v>60</v>
      </c>
      <c r="G229" t="s">
        <v>61</v>
      </c>
      <c r="H229" t="s">
        <v>79</v>
      </c>
      <c r="I229">
        <v>4</v>
      </c>
      <c r="J229">
        <v>850</v>
      </c>
      <c r="K229">
        <v>0.05</v>
      </c>
      <c r="L229">
        <v>3230</v>
      </c>
    </row>
    <row r="230" spans="1:12">
      <c r="A230" t="s">
        <v>1418</v>
      </c>
      <c r="B230" s="1">
        <v>46181</v>
      </c>
      <c r="C230" t="s">
        <v>31</v>
      </c>
      <c r="D230" t="s">
        <v>21</v>
      </c>
      <c r="E230" t="s">
        <v>22</v>
      </c>
      <c r="F230" t="s">
        <v>27</v>
      </c>
      <c r="G230" t="s">
        <v>28</v>
      </c>
      <c r="H230" t="s">
        <v>33</v>
      </c>
      <c r="I230">
        <v>1</v>
      </c>
      <c r="J230">
        <v>20</v>
      </c>
      <c r="K230">
        <v>0.08</v>
      </c>
      <c r="L230">
        <v>18.400000000000002</v>
      </c>
    </row>
    <row r="231" spans="1:12">
      <c r="A231" t="s">
        <v>299</v>
      </c>
      <c r="B231" s="1">
        <v>46072</v>
      </c>
      <c r="C231" t="s">
        <v>31</v>
      </c>
      <c r="D231" t="s">
        <v>41</v>
      </c>
      <c r="E231" t="s">
        <v>15</v>
      </c>
      <c r="F231" t="s">
        <v>23</v>
      </c>
      <c r="G231" t="s">
        <v>52</v>
      </c>
      <c r="H231" t="s">
        <v>33</v>
      </c>
      <c r="I231">
        <v>7</v>
      </c>
      <c r="J231">
        <v>477</v>
      </c>
      <c r="K231">
        <v>0.03</v>
      </c>
      <c r="L231">
        <v>3238.83</v>
      </c>
    </row>
    <row r="232" spans="1:12">
      <c r="A232" t="s">
        <v>1396</v>
      </c>
      <c r="B232" s="1">
        <v>46360</v>
      </c>
      <c r="C232" t="s">
        <v>31</v>
      </c>
      <c r="D232" t="s">
        <v>14</v>
      </c>
      <c r="E232" t="s">
        <v>22</v>
      </c>
      <c r="F232" t="s">
        <v>27</v>
      </c>
      <c r="G232" t="s">
        <v>32</v>
      </c>
      <c r="H232" t="s">
        <v>33</v>
      </c>
      <c r="I232">
        <v>3</v>
      </c>
      <c r="J232">
        <v>296.8</v>
      </c>
      <c r="K232">
        <v>0.15</v>
      </c>
      <c r="L232">
        <v>756.84</v>
      </c>
    </row>
    <row r="233" spans="1:12">
      <c r="A233" t="s">
        <v>1395</v>
      </c>
      <c r="B233" s="1">
        <v>46355</v>
      </c>
      <c r="C233" t="s">
        <v>31</v>
      </c>
      <c r="D233" t="s">
        <v>14</v>
      </c>
      <c r="E233" t="s">
        <v>15</v>
      </c>
      <c r="F233" t="s">
        <v>16</v>
      </c>
      <c r="G233" t="s">
        <v>17</v>
      </c>
      <c r="H233" t="s">
        <v>39</v>
      </c>
      <c r="I233">
        <v>1</v>
      </c>
      <c r="J233">
        <v>15.9</v>
      </c>
      <c r="K233">
        <v>0.08</v>
      </c>
      <c r="L233">
        <v>14.628</v>
      </c>
    </row>
    <row r="234" spans="1:12">
      <c r="A234" t="s">
        <v>302</v>
      </c>
      <c r="B234" s="1">
        <v>46264</v>
      </c>
      <c r="C234" t="s">
        <v>31</v>
      </c>
      <c r="D234" t="s">
        <v>35</v>
      </c>
      <c r="E234" t="s">
        <v>22</v>
      </c>
      <c r="F234" t="s">
        <v>48</v>
      </c>
      <c r="G234" t="s">
        <v>99</v>
      </c>
      <c r="H234" t="s">
        <v>39</v>
      </c>
      <c r="I234">
        <v>1</v>
      </c>
      <c r="J234">
        <v>2850</v>
      </c>
      <c r="K234">
        <v>0.1</v>
      </c>
      <c r="L234">
        <v>2565</v>
      </c>
    </row>
    <row r="235" spans="1:12">
      <c r="A235" t="s">
        <v>1387</v>
      </c>
      <c r="B235" s="1">
        <v>46026</v>
      </c>
      <c r="C235" t="s">
        <v>31</v>
      </c>
      <c r="D235" t="s">
        <v>41</v>
      </c>
      <c r="E235" t="s">
        <v>22</v>
      </c>
      <c r="F235" t="s">
        <v>16</v>
      </c>
      <c r="G235" t="s">
        <v>69</v>
      </c>
      <c r="H235" t="s">
        <v>33</v>
      </c>
      <c r="I235">
        <v>2</v>
      </c>
      <c r="J235">
        <v>53.35</v>
      </c>
      <c r="K235">
        <v>0.05</v>
      </c>
      <c r="L235">
        <v>101.36499999999999</v>
      </c>
    </row>
    <row r="236" spans="1:12">
      <c r="A236" t="s">
        <v>304</v>
      </c>
      <c r="B236" s="1">
        <v>46251</v>
      </c>
      <c r="C236" t="s">
        <v>31</v>
      </c>
      <c r="D236" t="s">
        <v>41</v>
      </c>
      <c r="E236" t="s">
        <v>22</v>
      </c>
      <c r="F236" t="s">
        <v>16</v>
      </c>
      <c r="G236" t="s">
        <v>42</v>
      </c>
      <c r="H236" t="s">
        <v>33</v>
      </c>
      <c r="I236">
        <v>5</v>
      </c>
      <c r="J236">
        <v>43.65</v>
      </c>
      <c r="K236">
        <v>0.1</v>
      </c>
      <c r="L236">
        <v>196.42500000000001</v>
      </c>
    </row>
    <row r="237" spans="1:12">
      <c r="A237" t="s">
        <v>1386</v>
      </c>
      <c r="B237" s="1">
        <v>46233</v>
      </c>
      <c r="C237" t="s">
        <v>31</v>
      </c>
      <c r="D237" t="s">
        <v>41</v>
      </c>
      <c r="E237" t="s">
        <v>15</v>
      </c>
      <c r="F237" t="s">
        <v>48</v>
      </c>
      <c r="G237" t="s">
        <v>96</v>
      </c>
      <c r="H237" t="s">
        <v>79</v>
      </c>
      <c r="I237">
        <v>3</v>
      </c>
      <c r="J237">
        <v>2425</v>
      </c>
      <c r="K237">
        <v>0.03</v>
      </c>
      <c r="L237">
        <v>7056.75</v>
      </c>
    </row>
    <row r="238" spans="1:12">
      <c r="A238" t="s">
        <v>1385</v>
      </c>
      <c r="B238" s="1">
        <v>46299</v>
      </c>
      <c r="C238" t="s">
        <v>31</v>
      </c>
      <c r="D238" t="s">
        <v>35</v>
      </c>
      <c r="E238" t="s">
        <v>15</v>
      </c>
      <c r="F238" t="s">
        <v>23</v>
      </c>
      <c r="G238" t="s">
        <v>38</v>
      </c>
      <c r="H238" t="s">
        <v>79</v>
      </c>
      <c r="I238">
        <v>12</v>
      </c>
      <c r="J238">
        <v>304</v>
      </c>
      <c r="K238">
        <v>0.2</v>
      </c>
      <c r="L238">
        <v>2918.4</v>
      </c>
    </row>
    <row r="239" spans="1:12">
      <c r="A239" t="s">
        <v>1376</v>
      </c>
      <c r="B239" s="1">
        <v>46186</v>
      </c>
      <c r="C239" t="s">
        <v>31</v>
      </c>
      <c r="D239" t="s">
        <v>21</v>
      </c>
      <c r="E239" t="s">
        <v>22</v>
      </c>
      <c r="F239" t="s">
        <v>48</v>
      </c>
      <c r="G239" t="s">
        <v>71</v>
      </c>
      <c r="H239" t="s">
        <v>33</v>
      </c>
      <c r="I239">
        <v>1</v>
      </c>
      <c r="J239">
        <v>3040</v>
      </c>
      <c r="K239">
        <v>0.2</v>
      </c>
      <c r="L239">
        <v>2432</v>
      </c>
    </row>
    <row r="240" spans="1:12">
      <c r="A240" t="s">
        <v>308</v>
      </c>
      <c r="B240" s="1">
        <v>46247</v>
      </c>
      <c r="C240" t="s">
        <v>31</v>
      </c>
      <c r="D240" t="s">
        <v>14</v>
      </c>
      <c r="E240" t="s">
        <v>15</v>
      </c>
      <c r="F240" t="s">
        <v>23</v>
      </c>
      <c r="G240" t="s">
        <v>52</v>
      </c>
      <c r="H240" t="s">
        <v>33</v>
      </c>
      <c r="I240">
        <v>5</v>
      </c>
      <c r="J240">
        <v>436.5</v>
      </c>
      <c r="K240">
        <v>0.05</v>
      </c>
      <c r="L240">
        <v>2073.375</v>
      </c>
    </row>
    <row r="241" spans="1:12">
      <c r="A241" t="s">
        <v>309</v>
      </c>
      <c r="B241" s="1">
        <v>46157</v>
      </c>
      <c r="C241" t="s">
        <v>31</v>
      </c>
      <c r="D241" t="s">
        <v>35</v>
      </c>
      <c r="E241" t="s">
        <v>22</v>
      </c>
      <c r="F241" t="s">
        <v>27</v>
      </c>
      <c r="G241" t="s">
        <v>28</v>
      </c>
      <c r="H241" t="s">
        <v>33</v>
      </c>
      <c r="I241">
        <v>8</v>
      </c>
      <c r="J241">
        <v>20.8</v>
      </c>
      <c r="K241">
        <v>0.08</v>
      </c>
      <c r="L241">
        <v>153.08800000000002</v>
      </c>
    </row>
    <row r="242" spans="1:12">
      <c r="A242" t="s">
        <v>1372</v>
      </c>
      <c r="B242" s="1">
        <v>46262</v>
      </c>
      <c r="C242" t="s">
        <v>31</v>
      </c>
      <c r="D242" t="s">
        <v>14</v>
      </c>
      <c r="E242" t="s">
        <v>15</v>
      </c>
      <c r="F242" t="s">
        <v>60</v>
      </c>
      <c r="G242" t="s">
        <v>61</v>
      </c>
      <c r="H242" t="s">
        <v>79</v>
      </c>
      <c r="I242">
        <v>1</v>
      </c>
      <c r="J242">
        <v>824.5</v>
      </c>
      <c r="K242">
        <v>0</v>
      </c>
      <c r="L242">
        <v>824.5</v>
      </c>
    </row>
    <row r="243" spans="1:12">
      <c r="A243" t="s">
        <v>1369</v>
      </c>
      <c r="B243" s="1">
        <v>46348</v>
      </c>
      <c r="C243" t="s">
        <v>31</v>
      </c>
      <c r="D243" t="s">
        <v>21</v>
      </c>
      <c r="E243" t="s">
        <v>15</v>
      </c>
      <c r="F243" t="s">
        <v>60</v>
      </c>
      <c r="G243" t="s">
        <v>61</v>
      </c>
      <c r="H243" t="s">
        <v>79</v>
      </c>
      <c r="I243">
        <v>1</v>
      </c>
      <c r="J243">
        <v>850</v>
      </c>
      <c r="K243">
        <v>0</v>
      </c>
      <c r="L243">
        <v>850</v>
      </c>
    </row>
    <row r="244" spans="1:12">
      <c r="A244" t="s">
        <v>1366</v>
      </c>
      <c r="B244" s="1">
        <v>46230</v>
      </c>
      <c r="C244" t="s">
        <v>31</v>
      </c>
      <c r="D244" t="s">
        <v>14</v>
      </c>
      <c r="E244" t="s">
        <v>22</v>
      </c>
      <c r="F244" t="s">
        <v>27</v>
      </c>
      <c r="G244" t="s">
        <v>28</v>
      </c>
      <c r="H244" t="s">
        <v>79</v>
      </c>
      <c r="I244">
        <v>3</v>
      </c>
      <c r="J244">
        <v>20</v>
      </c>
      <c r="K244">
        <v>0.05</v>
      </c>
      <c r="L244">
        <v>57</v>
      </c>
    </row>
    <row r="245" spans="1:12">
      <c r="A245" t="s">
        <v>1365</v>
      </c>
      <c r="B245" s="1">
        <v>46176</v>
      </c>
      <c r="C245" t="s">
        <v>31</v>
      </c>
      <c r="D245" t="s">
        <v>21</v>
      </c>
      <c r="E245" t="s">
        <v>15</v>
      </c>
      <c r="F245" t="s">
        <v>60</v>
      </c>
      <c r="G245" t="s">
        <v>91</v>
      </c>
      <c r="H245" t="s">
        <v>33</v>
      </c>
      <c r="I245">
        <v>2</v>
      </c>
      <c r="J245">
        <v>591.6</v>
      </c>
      <c r="K245">
        <v>0.1</v>
      </c>
      <c r="L245">
        <v>1064.8800000000001</v>
      </c>
    </row>
    <row r="246" spans="1:12">
      <c r="A246" t="s">
        <v>1358</v>
      </c>
      <c r="B246" s="1">
        <v>46131</v>
      </c>
      <c r="C246" t="s">
        <v>31</v>
      </c>
      <c r="D246" t="s">
        <v>41</v>
      </c>
      <c r="E246" t="s">
        <v>15</v>
      </c>
      <c r="F246" t="s">
        <v>73</v>
      </c>
      <c r="G246" t="s">
        <v>74</v>
      </c>
      <c r="H246" t="s">
        <v>39</v>
      </c>
      <c r="I246">
        <v>2</v>
      </c>
      <c r="J246">
        <v>8.48</v>
      </c>
      <c r="K246">
        <v>0.05</v>
      </c>
      <c r="L246">
        <v>16.111999999999998</v>
      </c>
    </row>
    <row r="247" spans="1:12">
      <c r="A247" t="s">
        <v>1351</v>
      </c>
      <c r="B247" s="1">
        <v>46294</v>
      </c>
      <c r="C247" t="s">
        <v>31</v>
      </c>
      <c r="D247" t="s">
        <v>14</v>
      </c>
      <c r="E247" t="s">
        <v>22</v>
      </c>
      <c r="F247" t="s">
        <v>27</v>
      </c>
      <c r="G247" t="s">
        <v>36</v>
      </c>
      <c r="H247" t="s">
        <v>39</v>
      </c>
      <c r="I247">
        <v>5</v>
      </c>
      <c r="J247">
        <v>750</v>
      </c>
      <c r="K247">
        <v>0.03</v>
      </c>
      <c r="L247">
        <v>3637.5</v>
      </c>
    </row>
    <row r="248" spans="1:12">
      <c r="A248" t="s">
        <v>1347</v>
      </c>
      <c r="B248" s="1">
        <v>46053</v>
      </c>
      <c r="C248" t="s">
        <v>31</v>
      </c>
      <c r="D248" t="s">
        <v>41</v>
      </c>
      <c r="E248" t="s">
        <v>22</v>
      </c>
      <c r="F248" t="s">
        <v>23</v>
      </c>
      <c r="G248" t="s">
        <v>38</v>
      </c>
      <c r="H248" t="s">
        <v>79</v>
      </c>
      <c r="I248">
        <v>3</v>
      </c>
      <c r="J248">
        <v>320</v>
      </c>
      <c r="K248">
        <v>0.08</v>
      </c>
      <c r="L248">
        <v>883.2</v>
      </c>
    </row>
    <row r="249" spans="1:12">
      <c r="A249" t="s">
        <v>1345</v>
      </c>
      <c r="B249" s="1">
        <v>46112</v>
      </c>
      <c r="C249" t="s">
        <v>31</v>
      </c>
      <c r="D249" t="s">
        <v>14</v>
      </c>
      <c r="E249" t="s">
        <v>22</v>
      </c>
      <c r="F249" t="s">
        <v>16</v>
      </c>
      <c r="G249" t="s">
        <v>57</v>
      </c>
      <c r="H249" t="s">
        <v>33</v>
      </c>
      <c r="I249">
        <v>1</v>
      </c>
      <c r="J249">
        <v>38</v>
      </c>
      <c r="K249">
        <v>0.05</v>
      </c>
      <c r="L249">
        <v>36.1</v>
      </c>
    </row>
    <row r="250" spans="1:12">
      <c r="A250" t="s">
        <v>1333</v>
      </c>
      <c r="B250" s="1">
        <v>46107</v>
      </c>
      <c r="C250" t="s">
        <v>31</v>
      </c>
      <c r="D250" t="s">
        <v>14</v>
      </c>
      <c r="E250" t="s">
        <v>15</v>
      </c>
      <c r="F250" t="s">
        <v>23</v>
      </c>
      <c r="G250" t="s">
        <v>138</v>
      </c>
      <c r="H250" t="s">
        <v>33</v>
      </c>
      <c r="I250">
        <v>1</v>
      </c>
      <c r="J250">
        <v>58.2</v>
      </c>
      <c r="K250">
        <v>0.05</v>
      </c>
      <c r="L250">
        <v>55.29</v>
      </c>
    </row>
    <row r="251" spans="1:12">
      <c r="A251" t="s">
        <v>1331</v>
      </c>
      <c r="B251" s="1">
        <v>46184</v>
      </c>
      <c r="C251" t="s">
        <v>31</v>
      </c>
      <c r="D251" t="s">
        <v>14</v>
      </c>
      <c r="E251" t="s">
        <v>15</v>
      </c>
      <c r="F251" t="s">
        <v>16</v>
      </c>
      <c r="G251" t="s">
        <v>57</v>
      </c>
      <c r="H251" t="s">
        <v>39</v>
      </c>
      <c r="I251">
        <v>1</v>
      </c>
      <c r="J251">
        <v>38</v>
      </c>
      <c r="K251">
        <v>0.08</v>
      </c>
      <c r="L251">
        <v>34.96</v>
      </c>
    </row>
    <row r="252" spans="1:12">
      <c r="A252" t="s">
        <v>1316</v>
      </c>
      <c r="B252" s="1">
        <v>46284</v>
      </c>
      <c r="C252" t="s">
        <v>31</v>
      </c>
      <c r="D252" t="s">
        <v>41</v>
      </c>
      <c r="E252" t="s">
        <v>22</v>
      </c>
      <c r="F252" t="s">
        <v>23</v>
      </c>
      <c r="G252" t="s">
        <v>24</v>
      </c>
      <c r="H252" t="s">
        <v>33</v>
      </c>
      <c r="I252">
        <v>2</v>
      </c>
      <c r="J252">
        <v>93.6</v>
      </c>
      <c r="K252">
        <v>0.05</v>
      </c>
      <c r="L252">
        <v>177.83999999999997</v>
      </c>
    </row>
    <row r="253" spans="1:12">
      <c r="A253" t="s">
        <v>1313</v>
      </c>
      <c r="B253" s="1">
        <v>46136</v>
      </c>
      <c r="C253" t="s">
        <v>31</v>
      </c>
      <c r="D253" t="s">
        <v>41</v>
      </c>
      <c r="E253" t="s">
        <v>22</v>
      </c>
      <c r="F253" t="s">
        <v>73</v>
      </c>
      <c r="G253" t="s">
        <v>129</v>
      </c>
      <c r="H253" t="s">
        <v>79</v>
      </c>
      <c r="I253">
        <v>2</v>
      </c>
      <c r="J253">
        <v>33.25</v>
      </c>
      <c r="K253">
        <v>0.05</v>
      </c>
      <c r="L253">
        <v>63.174999999999997</v>
      </c>
    </row>
    <row r="254" spans="1:12">
      <c r="A254" t="s">
        <v>1305</v>
      </c>
      <c r="B254" s="1">
        <v>46177</v>
      </c>
      <c r="C254" t="s">
        <v>31</v>
      </c>
      <c r="D254" t="s">
        <v>41</v>
      </c>
      <c r="E254" t="s">
        <v>15</v>
      </c>
      <c r="F254" t="s">
        <v>23</v>
      </c>
      <c r="G254" t="s">
        <v>52</v>
      </c>
      <c r="H254" t="s">
        <v>39</v>
      </c>
      <c r="I254">
        <v>2</v>
      </c>
      <c r="J254">
        <v>450</v>
      </c>
      <c r="K254">
        <v>0.08</v>
      </c>
      <c r="L254">
        <v>828</v>
      </c>
    </row>
    <row r="255" spans="1:12">
      <c r="A255" t="s">
        <v>1304</v>
      </c>
      <c r="B255" s="1">
        <v>46137</v>
      </c>
      <c r="C255" t="s">
        <v>31</v>
      </c>
      <c r="D255" t="s">
        <v>41</v>
      </c>
      <c r="E255" t="s">
        <v>22</v>
      </c>
      <c r="F255" t="s">
        <v>27</v>
      </c>
      <c r="G255" t="s">
        <v>155</v>
      </c>
      <c r="H255" t="s">
        <v>33</v>
      </c>
      <c r="I255">
        <v>1</v>
      </c>
      <c r="J255">
        <v>180</v>
      </c>
      <c r="K255">
        <v>0.2</v>
      </c>
      <c r="L255">
        <v>144</v>
      </c>
    </row>
    <row r="256" spans="1:12">
      <c r="A256" t="s">
        <v>1299</v>
      </c>
      <c r="B256" s="1">
        <v>46063</v>
      </c>
      <c r="C256" t="s">
        <v>31</v>
      </c>
      <c r="D256" t="s">
        <v>14</v>
      </c>
      <c r="E256" t="s">
        <v>22</v>
      </c>
      <c r="F256" t="s">
        <v>73</v>
      </c>
      <c r="G256" t="s">
        <v>81</v>
      </c>
      <c r="H256" t="s">
        <v>33</v>
      </c>
      <c r="I256">
        <v>5</v>
      </c>
      <c r="J256">
        <v>12.48</v>
      </c>
      <c r="K256">
        <v>0.05</v>
      </c>
      <c r="L256">
        <v>59.28</v>
      </c>
    </row>
    <row r="257" spans="1:12">
      <c r="A257" t="s">
        <v>1290</v>
      </c>
      <c r="B257" s="1">
        <v>46075</v>
      </c>
      <c r="C257" t="s">
        <v>31</v>
      </c>
      <c r="D257" t="s">
        <v>21</v>
      </c>
      <c r="E257" t="s">
        <v>22</v>
      </c>
      <c r="F257" t="s">
        <v>60</v>
      </c>
      <c r="G257" t="s">
        <v>61</v>
      </c>
      <c r="H257" t="s">
        <v>39</v>
      </c>
      <c r="I257">
        <v>4</v>
      </c>
      <c r="J257">
        <v>867</v>
      </c>
      <c r="K257">
        <v>0.15</v>
      </c>
      <c r="L257">
        <v>2947.7999999999997</v>
      </c>
    </row>
    <row r="258" spans="1:12">
      <c r="A258" t="s">
        <v>326</v>
      </c>
      <c r="B258" s="1">
        <v>46288</v>
      </c>
      <c r="C258" t="s">
        <v>31</v>
      </c>
      <c r="D258" t="s">
        <v>14</v>
      </c>
      <c r="E258" t="s">
        <v>15</v>
      </c>
      <c r="F258" t="s">
        <v>60</v>
      </c>
      <c r="G258" t="s">
        <v>76</v>
      </c>
      <c r="H258" t="s">
        <v>79</v>
      </c>
      <c r="I258">
        <v>1</v>
      </c>
      <c r="J258">
        <v>665</v>
      </c>
      <c r="K258">
        <v>0.03</v>
      </c>
      <c r="L258">
        <v>645.04999999999995</v>
      </c>
    </row>
    <row r="259" spans="1:12">
      <c r="A259" t="s">
        <v>1289</v>
      </c>
      <c r="B259" s="1">
        <v>46351</v>
      </c>
      <c r="C259" t="s">
        <v>31</v>
      </c>
      <c r="D259" t="s">
        <v>14</v>
      </c>
      <c r="E259" t="s">
        <v>22</v>
      </c>
      <c r="F259" t="s">
        <v>16</v>
      </c>
      <c r="G259" t="s">
        <v>42</v>
      </c>
      <c r="H259" t="s">
        <v>33</v>
      </c>
      <c r="I259">
        <v>5</v>
      </c>
      <c r="J259">
        <v>43.65</v>
      </c>
      <c r="K259">
        <v>0.05</v>
      </c>
      <c r="L259">
        <v>207.33749999999998</v>
      </c>
    </row>
    <row r="260" spans="1:12">
      <c r="A260" t="s">
        <v>1288</v>
      </c>
      <c r="B260" s="1">
        <v>46281</v>
      </c>
      <c r="C260" t="s">
        <v>31</v>
      </c>
      <c r="D260" t="s">
        <v>14</v>
      </c>
      <c r="E260" t="s">
        <v>15</v>
      </c>
      <c r="F260" t="s">
        <v>73</v>
      </c>
      <c r="G260" t="s">
        <v>81</v>
      </c>
      <c r="H260" t="s">
        <v>39</v>
      </c>
      <c r="I260">
        <v>3</v>
      </c>
      <c r="J260">
        <v>12.24</v>
      </c>
      <c r="K260">
        <v>0.1</v>
      </c>
      <c r="L260">
        <v>33.048000000000002</v>
      </c>
    </row>
    <row r="261" spans="1:12">
      <c r="A261" t="s">
        <v>1287</v>
      </c>
      <c r="B261" s="1">
        <v>46373</v>
      </c>
      <c r="C261" t="s">
        <v>31</v>
      </c>
      <c r="D261" t="s">
        <v>14</v>
      </c>
      <c r="E261" t="s">
        <v>15</v>
      </c>
      <c r="F261" t="s">
        <v>73</v>
      </c>
      <c r="G261" t="s">
        <v>74</v>
      </c>
      <c r="H261" t="s">
        <v>79</v>
      </c>
      <c r="I261">
        <v>5</v>
      </c>
      <c r="J261">
        <v>8.16</v>
      </c>
      <c r="K261">
        <v>0.2</v>
      </c>
      <c r="L261">
        <v>32.64</v>
      </c>
    </row>
    <row r="262" spans="1:12">
      <c r="A262" t="s">
        <v>1282</v>
      </c>
      <c r="B262" s="1">
        <v>46262</v>
      </c>
      <c r="C262" t="s">
        <v>31</v>
      </c>
      <c r="D262" t="s">
        <v>21</v>
      </c>
      <c r="E262" t="s">
        <v>22</v>
      </c>
      <c r="F262" t="s">
        <v>48</v>
      </c>
      <c r="G262" t="s">
        <v>71</v>
      </c>
      <c r="H262" t="s">
        <v>39</v>
      </c>
      <c r="I262">
        <v>1</v>
      </c>
      <c r="J262">
        <v>3104</v>
      </c>
      <c r="K262">
        <v>0.05</v>
      </c>
      <c r="L262">
        <v>2948.7999999999997</v>
      </c>
    </row>
    <row r="263" spans="1:12">
      <c r="A263" t="s">
        <v>331</v>
      </c>
      <c r="B263" s="1">
        <v>46135</v>
      </c>
      <c r="C263" t="s">
        <v>31</v>
      </c>
      <c r="D263" t="s">
        <v>41</v>
      </c>
      <c r="E263" t="s">
        <v>22</v>
      </c>
      <c r="F263" t="s">
        <v>16</v>
      </c>
      <c r="G263" t="s">
        <v>65</v>
      </c>
      <c r="H263" t="s">
        <v>79</v>
      </c>
      <c r="I263">
        <v>4</v>
      </c>
      <c r="J263">
        <v>80</v>
      </c>
      <c r="K263">
        <v>0.05</v>
      </c>
      <c r="L263">
        <v>304</v>
      </c>
    </row>
    <row r="264" spans="1:12">
      <c r="A264" t="s">
        <v>1272</v>
      </c>
      <c r="B264" s="1">
        <v>46182</v>
      </c>
      <c r="C264" t="s">
        <v>31</v>
      </c>
      <c r="D264" t="s">
        <v>14</v>
      </c>
      <c r="E264" t="s">
        <v>15</v>
      </c>
      <c r="F264" t="s">
        <v>16</v>
      </c>
      <c r="G264" t="s">
        <v>69</v>
      </c>
      <c r="H264" t="s">
        <v>33</v>
      </c>
      <c r="I264">
        <v>5</v>
      </c>
      <c r="J264">
        <v>53.35</v>
      </c>
      <c r="K264">
        <v>0.1</v>
      </c>
      <c r="L264">
        <v>240.07500000000002</v>
      </c>
    </row>
    <row r="265" spans="1:12">
      <c r="A265" t="s">
        <v>1269</v>
      </c>
      <c r="B265" s="1">
        <v>46152</v>
      </c>
      <c r="C265" t="s">
        <v>31</v>
      </c>
      <c r="D265" t="s">
        <v>35</v>
      </c>
      <c r="E265" t="s">
        <v>22</v>
      </c>
      <c r="F265" t="s">
        <v>48</v>
      </c>
      <c r="G265" t="s">
        <v>49</v>
      </c>
      <c r="H265" t="s">
        <v>39</v>
      </c>
      <c r="I265">
        <v>2</v>
      </c>
      <c r="J265">
        <v>4200</v>
      </c>
      <c r="K265">
        <v>0.03</v>
      </c>
      <c r="L265">
        <v>8148</v>
      </c>
    </row>
    <row r="266" spans="1:12">
      <c r="A266" t="s">
        <v>1267</v>
      </c>
      <c r="B266" s="1">
        <v>46138</v>
      </c>
      <c r="C266" t="s">
        <v>31</v>
      </c>
      <c r="D266" t="s">
        <v>21</v>
      </c>
      <c r="E266" t="s">
        <v>22</v>
      </c>
      <c r="F266" t="s">
        <v>48</v>
      </c>
      <c r="G266" t="s">
        <v>96</v>
      </c>
      <c r="H266" t="s">
        <v>39</v>
      </c>
      <c r="I266">
        <v>1</v>
      </c>
      <c r="J266">
        <v>2500</v>
      </c>
      <c r="K266">
        <v>0.15</v>
      </c>
      <c r="L266">
        <v>2125</v>
      </c>
    </row>
    <row r="267" spans="1:12">
      <c r="A267" t="s">
        <v>1264</v>
      </c>
      <c r="B267" s="1">
        <v>46375</v>
      </c>
      <c r="C267" t="s">
        <v>31</v>
      </c>
      <c r="D267" t="s">
        <v>41</v>
      </c>
      <c r="E267" t="s">
        <v>15</v>
      </c>
      <c r="F267" t="s">
        <v>23</v>
      </c>
      <c r="G267" t="s">
        <v>24</v>
      </c>
      <c r="H267" t="s">
        <v>39</v>
      </c>
      <c r="I267">
        <v>4</v>
      </c>
      <c r="J267">
        <v>93.6</v>
      </c>
      <c r="K267">
        <v>0</v>
      </c>
      <c r="L267">
        <v>374.4</v>
      </c>
    </row>
    <row r="268" spans="1:12">
      <c r="A268" t="s">
        <v>1262</v>
      </c>
      <c r="B268" s="1">
        <v>46338</v>
      </c>
      <c r="C268" t="s">
        <v>31</v>
      </c>
      <c r="D268" t="s">
        <v>14</v>
      </c>
      <c r="E268" t="s">
        <v>22</v>
      </c>
      <c r="F268" t="s">
        <v>16</v>
      </c>
      <c r="G268" t="s">
        <v>69</v>
      </c>
      <c r="H268" t="s">
        <v>79</v>
      </c>
      <c r="I268">
        <v>3</v>
      </c>
      <c r="J268">
        <v>55</v>
      </c>
      <c r="K268">
        <v>0.1</v>
      </c>
      <c r="L268">
        <v>148.5</v>
      </c>
    </row>
    <row r="269" spans="1:12">
      <c r="A269" t="s">
        <v>1253</v>
      </c>
      <c r="B269" s="1">
        <v>46087</v>
      </c>
      <c r="C269" t="s">
        <v>31</v>
      </c>
      <c r="D269" t="s">
        <v>14</v>
      </c>
      <c r="E269" t="s">
        <v>22</v>
      </c>
      <c r="F269" t="s">
        <v>23</v>
      </c>
      <c r="G269" t="s">
        <v>38</v>
      </c>
      <c r="H269" t="s">
        <v>33</v>
      </c>
      <c r="I269">
        <v>5</v>
      </c>
      <c r="J269">
        <v>332.8</v>
      </c>
      <c r="K269">
        <v>0.03</v>
      </c>
      <c r="L269">
        <v>1614.08</v>
      </c>
    </row>
    <row r="270" spans="1:12">
      <c r="A270" t="s">
        <v>1251</v>
      </c>
      <c r="B270" s="1">
        <v>46373</v>
      </c>
      <c r="C270" t="s">
        <v>31</v>
      </c>
      <c r="D270" t="s">
        <v>41</v>
      </c>
      <c r="E270" t="s">
        <v>22</v>
      </c>
      <c r="F270" t="s">
        <v>60</v>
      </c>
      <c r="G270" t="s">
        <v>61</v>
      </c>
      <c r="H270" t="s">
        <v>39</v>
      </c>
      <c r="I270">
        <v>2</v>
      </c>
      <c r="J270">
        <v>850</v>
      </c>
      <c r="K270">
        <v>0.05</v>
      </c>
      <c r="L270">
        <v>1615</v>
      </c>
    </row>
    <row r="271" spans="1:12">
      <c r="A271" t="s">
        <v>1248</v>
      </c>
      <c r="B271" s="1">
        <v>46127</v>
      </c>
      <c r="C271" t="s">
        <v>31</v>
      </c>
      <c r="D271" t="s">
        <v>14</v>
      </c>
      <c r="E271" t="s">
        <v>22</v>
      </c>
      <c r="F271" t="s">
        <v>27</v>
      </c>
      <c r="G271" t="s">
        <v>28</v>
      </c>
      <c r="H271" t="s">
        <v>33</v>
      </c>
      <c r="I271">
        <v>2</v>
      </c>
      <c r="J271">
        <v>20</v>
      </c>
      <c r="K271">
        <v>0.1</v>
      </c>
      <c r="L271">
        <v>36</v>
      </c>
    </row>
    <row r="272" spans="1:12">
      <c r="A272" t="s">
        <v>340</v>
      </c>
      <c r="B272" s="1">
        <v>46106</v>
      </c>
      <c r="C272" t="s">
        <v>31</v>
      </c>
      <c r="D272" t="s">
        <v>21</v>
      </c>
      <c r="E272" t="s">
        <v>22</v>
      </c>
      <c r="F272" t="s">
        <v>48</v>
      </c>
      <c r="G272" t="s">
        <v>99</v>
      </c>
      <c r="H272" t="s">
        <v>79</v>
      </c>
      <c r="I272">
        <v>1</v>
      </c>
      <c r="J272">
        <v>2850</v>
      </c>
      <c r="K272">
        <v>0.15</v>
      </c>
      <c r="L272">
        <v>2422.5</v>
      </c>
    </row>
    <row r="273" spans="1:12">
      <c r="A273" t="s">
        <v>1247</v>
      </c>
      <c r="B273" s="1">
        <v>46092</v>
      </c>
      <c r="C273" t="s">
        <v>31</v>
      </c>
      <c r="D273" t="s">
        <v>21</v>
      </c>
      <c r="E273" t="s">
        <v>22</v>
      </c>
      <c r="F273" t="s">
        <v>16</v>
      </c>
      <c r="G273" t="s">
        <v>65</v>
      </c>
      <c r="H273" t="s">
        <v>39</v>
      </c>
      <c r="I273">
        <v>2</v>
      </c>
      <c r="J273">
        <v>83.2</v>
      </c>
      <c r="K273">
        <v>0.03</v>
      </c>
      <c r="L273">
        <v>161.40799999999999</v>
      </c>
    </row>
    <row r="274" spans="1:12">
      <c r="A274" t="s">
        <v>342</v>
      </c>
      <c r="B274" s="1">
        <v>46169</v>
      </c>
      <c r="C274" t="s">
        <v>31</v>
      </c>
      <c r="D274" t="s">
        <v>14</v>
      </c>
      <c r="E274" t="s">
        <v>22</v>
      </c>
      <c r="F274" t="s">
        <v>27</v>
      </c>
      <c r="G274" t="s">
        <v>36</v>
      </c>
      <c r="H274" t="s">
        <v>33</v>
      </c>
      <c r="I274">
        <v>5</v>
      </c>
      <c r="J274">
        <v>750</v>
      </c>
      <c r="K274">
        <v>0.2</v>
      </c>
      <c r="L274">
        <v>3000</v>
      </c>
    </row>
    <row r="275" spans="1:12">
      <c r="A275" t="s">
        <v>1242</v>
      </c>
      <c r="B275" s="1">
        <v>46056</v>
      </c>
      <c r="C275" t="s">
        <v>31</v>
      </c>
      <c r="D275" t="s">
        <v>21</v>
      </c>
      <c r="E275" t="s">
        <v>22</v>
      </c>
      <c r="F275" t="s">
        <v>73</v>
      </c>
      <c r="G275" t="s">
        <v>74</v>
      </c>
      <c r="H275" t="s">
        <v>39</v>
      </c>
      <c r="I275">
        <v>1</v>
      </c>
      <c r="J275">
        <v>8.48</v>
      </c>
      <c r="K275">
        <v>0.08</v>
      </c>
      <c r="L275">
        <v>7.8016000000000005</v>
      </c>
    </row>
    <row r="276" spans="1:12">
      <c r="A276" t="s">
        <v>1241</v>
      </c>
      <c r="B276" s="1">
        <v>46050</v>
      </c>
      <c r="C276" t="s">
        <v>31</v>
      </c>
      <c r="D276" t="s">
        <v>21</v>
      </c>
      <c r="E276" t="s">
        <v>22</v>
      </c>
      <c r="F276" t="s">
        <v>73</v>
      </c>
      <c r="G276" t="s">
        <v>74</v>
      </c>
      <c r="H276" t="s">
        <v>79</v>
      </c>
      <c r="I276">
        <v>1</v>
      </c>
      <c r="J276">
        <v>8</v>
      </c>
      <c r="K276">
        <v>0</v>
      </c>
      <c r="L276">
        <v>8</v>
      </c>
    </row>
    <row r="277" spans="1:12">
      <c r="A277" t="s">
        <v>1239</v>
      </c>
      <c r="B277" s="1">
        <v>46261</v>
      </c>
      <c r="C277" t="s">
        <v>31</v>
      </c>
      <c r="D277" t="s">
        <v>14</v>
      </c>
      <c r="E277" t="s">
        <v>22</v>
      </c>
      <c r="F277" t="s">
        <v>27</v>
      </c>
      <c r="G277" t="s">
        <v>36</v>
      </c>
      <c r="H277" t="s">
        <v>79</v>
      </c>
      <c r="I277">
        <v>5</v>
      </c>
      <c r="J277">
        <v>765</v>
      </c>
      <c r="K277">
        <v>0</v>
      </c>
      <c r="L277">
        <v>3825</v>
      </c>
    </row>
    <row r="278" spans="1:12">
      <c r="A278" t="s">
        <v>1237</v>
      </c>
      <c r="B278" s="1">
        <v>46104</v>
      </c>
      <c r="C278" t="s">
        <v>31</v>
      </c>
      <c r="D278" t="s">
        <v>35</v>
      </c>
      <c r="E278" t="s">
        <v>22</v>
      </c>
      <c r="F278" t="s">
        <v>60</v>
      </c>
      <c r="G278" t="s">
        <v>67</v>
      </c>
      <c r="H278" t="s">
        <v>79</v>
      </c>
      <c r="I278">
        <v>1</v>
      </c>
      <c r="J278">
        <v>1530</v>
      </c>
      <c r="K278">
        <v>0.15</v>
      </c>
      <c r="L278">
        <v>1300.5</v>
      </c>
    </row>
    <row r="279" spans="1:12">
      <c r="A279" t="s">
        <v>1234</v>
      </c>
      <c r="B279" s="1">
        <v>46238</v>
      </c>
      <c r="C279" t="s">
        <v>31</v>
      </c>
      <c r="D279" t="s">
        <v>14</v>
      </c>
      <c r="E279" t="s">
        <v>22</v>
      </c>
      <c r="F279" t="s">
        <v>23</v>
      </c>
      <c r="G279" t="s">
        <v>52</v>
      </c>
      <c r="H279" t="s">
        <v>33</v>
      </c>
      <c r="I279">
        <v>4</v>
      </c>
      <c r="J279">
        <v>450</v>
      </c>
      <c r="K279">
        <v>0</v>
      </c>
      <c r="L279">
        <v>1800</v>
      </c>
    </row>
    <row r="280" spans="1:12">
      <c r="A280" t="s">
        <v>1233</v>
      </c>
      <c r="B280" s="1">
        <v>46339</v>
      </c>
      <c r="C280" t="s">
        <v>31</v>
      </c>
      <c r="D280" t="s">
        <v>41</v>
      </c>
      <c r="E280" t="s">
        <v>22</v>
      </c>
      <c r="F280" t="s">
        <v>16</v>
      </c>
      <c r="G280" t="s">
        <v>42</v>
      </c>
      <c r="H280" t="s">
        <v>33</v>
      </c>
      <c r="I280">
        <v>2</v>
      </c>
      <c r="J280">
        <v>47.7</v>
      </c>
      <c r="K280">
        <v>0.05</v>
      </c>
      <c r="L280">
        <v>90.63</v>
      </c>
    </row>
    <row r="281" spans="1:12">
      <c r="A281" t="s">
        <v>349</v>
      </c>
      <c r="B281" s="1">
        <v>46314</v>
      </c>
      <c r="C281" t="s">
        <v>31</v>
      </c>
      <c r="D281" t="s">
        <v>14</v>
      </c>
      <c r="E281" t="s">
        <v>22</v>
      </c>
      <c r="F281" t="s">
        <v>48</v>
      </c>
      <c r="G281" t="s">
        <v>71</v>
      </c>
      <c r="H281" t="s">
        <v>33</v>
      </c>
      <c r="I281">
        <v>3</v>
      </c>
      <c r="J281">
        <v>3264</v>
      </c>
      <c r="K281">
        <v>0.03</v>
      </c>
      <c r="L281">
        <v>9498.24</v>
      </c>
    </row>
    <row r="282" spans="1:12">
      <c r="A282" t="s">
        <v>350</v>
      </c>
      <c r="B282" s="1">
        <v>46201</v>
      </c>
      <c r="C282" t="s">
        <v>31</v>
      </c>
      <c r="D282" t="s">
        <v>14</v>
      </c>
      <c r="E282" t="s">
        <v>22</v>
      </c>
      <c r="F282" t="s">
        <v>73</v>
      </c>
      <c r="G282" t="s">
        <v>74</v>
      </c>
      <c r="H282" t="s">
        <v>79</v>
      </c>
      <c r="I282">
        <v>1</v>
      </c>
      <c r="J282">
        <v>7.6</v>
      </c>
      <c r="K282">
        <v>0.15</v>
      </c>
      <c r="L282">
        <v>6.46</v>
      </c>
    </row>
    <row r="283" spans="1:12">
      <c r="A283" t="s">
        <v>1229</v>
      </c>
      <c r="B283" s="1">
        <v>46327</v>
      </c>
      <c r="C283" t="s">
        <v>31</v>
      </c>
      <c r="D283" t="s">
        <v>14</v>
      </c>
      <c r="E283" t="s">
        <v>15</v>
      </c>
      <c r="F283" t="s">
        <v>73</v>
      </c>
      <c r="G283" t="s">
        <v>74</v>
      </c>
      <c r="H283" t="s">
        <v>79</v>
      </c>
      <c r="I283">
        <v>3</v>
      </c>
      <c r="J283">
        <v>8.16</v>
      </c>
      <c r="K283">
        <v>0.1</v>
      </c>
      <c r="L283">
        <v>22.032</v>
      </c>
    </row>
    <row r="284" spans="1:12">
      <c r="A284" t="s">
        <v>352</v>
      </c>
      <c r="B284" s="1">
        <v>46303</v>
      </c>
      <c r="C284" t="s">
        <v>31</v>
      </c>
      <c r="D284" t="s">
        <v>14</v>
      </c>
      <c r="E284" t="s">
        <v>22</v>
      </c>
      <c r="F284" t="s">
        <v>16</v>
      </c>
      <c r="G284" t="s">
        <v>42</v>
      </c>
      <c r="H284" t="s">
        <v>33</v>
      </c>
      <c r="I284">
        <v>1</v>
      </c>
      <c r="J284">
        <v>45</v>
      </c>
      <c r="K284">
        <v>0.1</v>
      </c>
      <c r="L284">
        <v>40.5</v>
      </c>
    </row>
    <row r="285" spans="1:12">
      <c r="A285" t="s">
        <v>353</v>
      </c>
      <c r="B285" s="1">
        <v>46286</v>
      </c>
      <c r="C285" t="s">
        <v>31</v>
      </c>
      <c r="D285" t="s">
        <v>21</v>
      </c>
      <c r="E285" t="s">
        <v>22</v>
      </c>
      <c r="F285" t="s">
        <v>16</v>
      </c>
      <c r="G285" t="s">
        <v>42</v>
      </c>
      <c r="H285" t="s">
        <v>79</v>
      </c>
      <c r="I285">
        <v>6</v>
      </c>
      <c r="J285">
        <v>45</v>
      </c>
      <c r="K285">
        <v>0.05</v>
      </c>
      <c r="L285">
        <v>256.5</v>
      </c>
    </row>
    <row r="286" spans="1:12">
      <c r="A286" t="s">
        <v>1228</v>
      </c>
      <c r="B286" s="1">
        <v>46092</v>
      </c>
      <c r="C286" t="s">
        <v>31</v>
      </c>
      <c r="D286" t="s">
        <v>35</v>
      </c>
      <c r="E286" t="s">
        <v>15</v>
      </c>
      <c r="F286" t="s">
        <v>60</v>
      </c>
      <c r="G286" t="s">
        <v>76</v>
      </c>
      <c r="H286" t="s">
        <v>39</v>
      </c>
      <c r="I286">
        <v>1</v>
      </c>
      <c r="J286">
        <v>665</v>
      </c>
      <c r="K286">
        <v>0.05</v>
      </c>
      <c r="L286">
        <v>631.75</v>
      </c>
    </row>
    <row r="287" spans="1:12">
      <c r="A287" t="s">
        <v>355</v>
      </c>
      <c r="B287" s="1">
        <v>46187</v>
      </c>
      <c r="C287" t="s">
        <v>31</v>
      </c>
      <c r="D287" t="s">
        <v>14</v>
      </c>
      <c r="E287" t="s">
        <v>15</v>
      </c>
      <c r="F287" t="s">
        <v>16</v>
      </c>
      <c r="G287" t="s">
        <v>112</v>
      </c>
      <c r="H287" t="s">
        <v>39</v>
      </c>
      <c r="I287">
        <v>3</v>
      </c>
      <c r="J287">
        <v>61.75</v>
      </c>
      <c r="K287">
        <v>0.1</v>
      </c>
      <c r="L287">
        <v>166.72499999999999</v>
      </c>
    </row>
    <row r="288" spans="1:12">
      <c r="A288" t="s">
        <v>1221</v>
      </c>
      <c r="B288" s="1">
        <v>46077</v>
      </c>
      <c r="C288" t="s">
        <v>31</v>
      </c>
      <c r="D288" t="s">
        <v>41</v>
      </c>
      <c r="E288" t="s">
        <v>22</v>
      </c>
      <c r="F288" t="s">
        <v>73</v>
      </c>
      <c r="G288" t="s">
        <v>81</v>
      </c>
      <c r="H288" t="s">
        <v>33</v>
      </c>
      <c r="I288">
        <v>3</v>
      </c>
      <c r="J288">
        <v>12</v>
      </c>
      <c r="K288">
        <v>0.08</v>
      </c>
      <c r="L288">
        <v>33.120000000000005</v>
      </c>
    </row>
    <row r="289" spans="1:12">
      <c r="A289" t="s">
        <v>1219</v>
      </c>
      <c r="B289" s="1">
        <v>46061</v>
      </c>
      <c r="C289" t="s">
        <v>31</v>
      </c>
      <c r="D289" t="s">
        <v>35</v>
      </c>
      <c r="E289" t="s">
        <v>22</v>
      </c>
      <c r="F289" t="s">
        <v>60</v>
      </c>
      <c r="G289" t="s">
        <v>91</v>
      </c>
      <c r="H289" t="s">
        <v>33</v>
      </c>
      <c r="I289">
        <v>2</v>
      </c>
      <c r="J289">
        <v>603.20000000000005</v>
      </c>
      <c r="K289">
        <v>0.15</v>
      </c>
      <c r="L289">
        <v>1025.44</v>
      </c>
    </row>
    <row r="290" spans="1:12">
      <c r="A290" t="s">
        <v>358</v>
      </c>
      <c r="B290" s="1">
        <v>46179</v>
      </c>
      <c r="C290" t="s">
        <v>31</v>
      </c>
      <c r="D290" t="s">
        <v>21</v>
      </c>
      <c r="E290" t="s">
        <v>15</v>
      </c>
      <c r="F290" t="s">
        <v>73</v>
      </c>
      <c r="G290" t="s">
        <v>129</v>
      </c>
      <c r="H290" t="s">
        <v>33</v>
      </c>
      <c r="I290">
        <v>5</v>
      </c>
      <c r="J290">
        <v>33.25</v>
      </c>
      <c r="K290">
        <v>0.08</v>
      </c>
      <c r="L290">
        <v>152.95000000000002</v>
      </c>
    </row>
    <row r="291" spans="1:12">
      <c r="A291" t="s">
        <v>1206</v>
      </c>
      <c r="B291" s="1">
        <v>46136</v>
      </c>
      <c r="C291" t="s">
        <v>31</v>
      </c>
      <c r="D291" t="s">
        <v>41</v>
      </c>
      <c r="E291" t="s">
        <v>22</v>
      </c>
      <c r="F291" t="s">
        <v>16</v>
      </c>
      <c r="G291" t="s">
        <v>17</v>
      </c>
      <c r="H291" t="s">
        <v>33</v>
      </c>
      <c r="I291">
        <v>1</v>
      </c>
      <c r="J291">
        <v>15.9</v>
      </c>
      <c r="K291">
        <v>0.2</v>
      </c>
      <c r="L291">
        <v>12.72</v>
      </c>
    </row>
    <row r="292" spans="1:12">
      <c r="A292" t="s">
        <v>1199</v>
      </c>
      <c r="B292" s="1">
        <v>46254</v>
      </c>
      <c r="C292" t="s">
        <v>31</v>
      </c>
      <c r="D292" t="s">
        <v>14</v>
      </c>
      <c r="E292" t="s">
        <v>22</v>
      </c>
      <c r="F292" t="s">
        <v>16</v>
      </c>
      <c r="G292" t="s">
        <v>57</v>
      </c>
      <c r="H292" t="s">
        <v>39</v>
      </c>
      <c r="I292">
        <v>4</v>
      </c>
      <c r="J292">
        <v>38.76</v>
      </c>
      <c r="K292">
        <v>0.03</v>
      </c>
      <c r="L292">
        <v>150.38879999999997</v>
      </c>
    </row>
    <row r="293" spans="1:12">
      <c r="A293" t="s">
        <v>1193</v>
      </c>
      <c r="B293" s="1">
        <v>46382</v>
      </c>
      <c r="C293" t="s">
        <v>31</v>
      </c>
      <c r="D293" t="s">
        <v>21</v>
      </c>
      <c r="E293" t="s">
        <v>22</v>
      </c>
      <c r="F293" t="s">
        <v>73</v>
      </c>
      <c r="G293" t="s">
        <v>129</v>
      </c>
      <c r="H293" t="s">
        <v>79</v>
      </c>
      <c r="I293">
        <v>1</v>
      </c>
      <c r="J293">
        <v>35</v>
      </c>
      <c r="K293">
        <v>0.1</v>
      </c>
      <c r="L293">
        <v>31.5</v>
      </c>
    </row>
    <row r="294" spans="1:12">
      <c r="A294" t="s">
        <v>362</v>
      </c>
      <c r="B294" s="1">
        <v>46120</v>
      </c>
      <c r="C294" t="s">
        <v>31</v>
      </c>
      <c r="D294" t="s">
        <v>21</v>
      </c>
      <c r="E294" t="s">
        <v>15</v>
      </c>
      <c r="F294" t="s">
        <v>23</v>
      </c>
      <c r="G294" t="s">
        <v>38</v>
      </c>
      <c r="H294" t="s">
        <v>33</v>
      </c>
      <c r="I294">
        <v>4</v>
      </c>
      <c r="J294">
        <v>326.39999999999998</v>
      </c>
      <c r="K294">
        <v>0.15</v>
      </c>
      <c r="L294">
        <v>1109.76</v>
      </c>
    </row>
    <row r="295" spans="1:12">
      <c r="A295" t="s">
        <v>1185</v>
      </c>
      <c r="B295" s="1">
        <v>46160</v>
      </c>
      <c r="C295" t="s">
        <v>31</v>
      </c>
      <c r="D295" t="s">
        <v>21</v>
      </c>
      <c r="E295" t="s">
        <v>22</v>
      </c>
      <c r="F295" t="s">
        <v>16</v>
      </c>
      <c r="G295" t="s">
        <v>112</v>
      </c>
      <c r="H295" t="s">
        <v>79</v>
      </c>
      <c r="I295">
        <v>8</v>
      </c>
      <c r="J295">
        <v>65</v>
      </c>
      <c r="K295">
        <v>0.08</v>
      </c>
      <c r="L295">
        <v>478.40000000000003</v>
      </c>
    </row>
    <row r="296" spans="1:12">
      <c r="A296" t="s">
        <v>1166</v>
      </c>
      <c r="B296" s="1">
        <v>46325</v>
      </c>
      <c r="C296" t="s">
        <v>31</v>
      </c>
      <c r="D296" t="s">
        <v>14</v>
      </c>
      <c r="E296" t="s">
        <v>22</v>
      </c>
      <c r="F296" t="s">
        <v>16</v>
      </c>
      <c r="G296" t="s">
        <v>57</v>
      </c>
      <c r="H296" t="s">
        <v>79</v>
      </c>
      <c r="I296">
        <v>1</v>
      </c>
      <c r="J296">
        <v>39.520000000000003</v>
      </c>
      <c r="K296">
        <v>0.05</v>
      </c>
      <c r="L296">
        <v>37.544000000000004</v>
      </c>
    </row>
    <row r="297" spans="1:12">
      <c r="A297" t="s">
        <v>1165</v>
      </c>
      <c r="B297" s="1">
        <v>46314</v>
      </c>
      <c r="C297" t="s">
        <v>31</v>
      </c>
      <c r="D297" t="s">
        <v>41</v>
      </c>
      <c r="E297" t="s">
        <v>15</v>
      </c>
      <c r="F297" t="s">
        <v>16</v>
      </c>
      <c r="G297" t="s">
        <v>57</v>
      </c>
      <c r="H297" t="s">
        <v>39</v>
      </c>
      <c r="I297">
        <v>3</v>
      </c>
      <c r="J297">
        <v>38.76</v>
      </c>
      <c r="K297">
        <v>0</v>
      </c>
      <c r="L297">
        <v>116.28</v>
      </c>
    </row>
    <row r="298" spans="1:12">
      <c r="A298" t="s">
        <v>1164</v>
      </c>
      <c r="B298" s="1">
        <v>46172</v>
      </c>
      <c r="C298" t="s">
        <v>31</v>
      </c>
      <c r="D298" t="s">
        <v>35</v>
      </c>
      <c r="E298" t="s">
        <v>22</v>
      </c>
      <c r="F298" t="s">
        <v>73</v>
      </c>
      <c r="G298" t="s">
        <v>145</v>
      </c>
      <c r="H298" t="s">
        <v>39</v>
      </c>
      <c r="I298">
        <v>7</v>
      </c>
      <c r="J298">
        <v>18.72</v>
      </c>
      <c r="K298">
        <v>0.05</v>
      </c>
      <c r="L298">
        <v>124.48799999999999</v>
      </c>
    </row>
    <row r="299" spans="1:12">
      <c r="A299" t="s">
        <v>367</v>
      </c>
      <c r="B299" s="1">
        <v>46105</v>
      </c>
      <c r="C299" t="s">
        <v>31</v>
      </c>
      <c r="D299" t="s">
        <v>14</v>
      </c>
      <c r="E299" t="s">
        <v>15</v>
      </c>
      <c r="F299" t="s">
        <v>23</v>
      </c>
      <c r="G299" t="s">
        <v>52</v>
      </c>
      <c r="H299" t="s">
        <v>79</v>
      </c>
      <c r="I299">
        <v>2</v>
      </c>
      <c r="J299">
        <v>459</v>
      </c>
      <c r="K299">
        <v>0</v>
      </c>
      <c r="L299">
        <v>918</v>
      </c>
    </row>
    <row r="300" spans="1:12">
      <c r="A300" t="s">
        <v>1162</v>
      </c>
      <c r="B300" s="1">
        <v>46115</v>
      </c>
      <c r="C300" t="s">
        <v>31</v>
      </c>
      <c r="D300" t="s">
        <v>41</v>
      </c>
      <c r="E300" t="s">
        <v>22</v>
      </c>
      <c r="F300" t="s">
        <v>23</v>
      </c>
      <c r="G300" t="s">
        <v>38</v>
      </c>
      <c r="H300" t="s">
        <v>79</v>
      </c>
      <c r="I300">
        <v>1</v>
      </c>
      <c r="J300">
        <v>326.39999999999998</v>
      </c>
      <c r="K300">
        <v>0.03</v>
      </c>
      <c r="L300">
        <v>316.60799999999995</v>
      </c>
    </row>
    <row r="301" spans="1:12">
      <c r="A301" t="s">
        <v>369</v>
      </c>
      <c r="B301" s="1">
        <v>46155</v>
      </c>
      <c r="C301" t="s">
        <v>31</v>
      </c>
      <c r="D301" t="s">
        <v>21</v>
      </c>
      <c r="E301" t="s">
        <v>22</v>
      </c>
      <c r="F301" t="s">
        <v>23</v>
      </c>
      <c r="G301" t="s">
        <v>38</v>
      </c>
      <c r="H301" t="s">
        <v>79</v>
      </c>
      <c r="I301">
        <v>2</v>
      </c>
      <c r="J301">
        <v>320</v>
      </c>
      <c r="K301">
        <v>0.1</v>
      </c>
      <c r="L301">
        <v>576</v>
      </c>
    </row>
    <row r="302" spans="1:12">
      <c r="A302" t="s">
        <v>1160</v>
      </c>
      <c r="B302" s="1">
        <v>46174</v>
      </c>
      <c r="C302" t="s">
        <v>31</v>
      </c>
      <c r="D302" t="s">
        <v>14</v>
      </c>
      <c r="E302" t="s">
        <v>15</v>
      </c>
      <c r="F302" t="s">
        <v>60</v>
      </c>
      <c r="G302" t="s">
        <v>61</v>
      </c>
      <c r="H302" t="s">
        <v>79</v>
      </c>
      <c r="I302">
        <v>1</v>
      </c>
      <c r="J302">
        <v>850</v>
      </c>
      <c r="K302">
        <v>0.05</v>
      </c>
      <c r="L302">
        <v>807.5</v>
      </c>
    </row>
    <row r="303" spans="1:12">
      <c r="A303" t="s">
        <v>1159</v>
      </c>
      <c r="B303" s="1">
        <v>46275</v>
      </c>
      <c r="C303" t="s">
        <v>31</v>
      </c>
      <c r="D303" t="s">
        <v>41</v>
      </c>
      <c r="E303" t="s">
        <v>15</v>
      </c>
      <c r="F303" t="s">
        <v>27</v>
      </c>
      <c r="G303" t="s">
        <v>32</v>
      </c>
      <c r="H303" t="s">
        <v>39</v>
      </c>
      <c r="I303">
        <v>2</v>
      </c>
      <c r="J303">
        <v>291.2</v>
      </c>
      <c r="K303">
        <v>0.05</v>
      </c>
      <c r="L303">
        <v>553.28</v>
      </c>
    </row>
    <row r="304" spans="1:12">
      <c r="A304" t="s">
        <v>1151</v>
      </c>
      <c r="B304" s="1">
        <v>46280</v>
      </c>
      <c r="C304" t="s">
        <v>31</v>
      </c>
      <c r="D304" t="s">
        <v>35</v>
      </c>
      <c r="E304" t="s">
        <v>15</v>
      </c>
      <c r="F304" t="s">
        <v>73</v>
      </c>
      <c r="G304" t="s">
        <v>81</v>
      </c>
      <c r="H304" t="s">
        <v>33</v>
      </c>
      <c r="I304">
        <v>5</v>
      </c>
      <c r="J304">
        <v>12</v>
      </c>
      <c r="K304">
        <v>0.05</v>
      </c>
      <c r="L304">
        <v>57</v>
      </c>
    </row>
    <row r="305" spans="1:12">
      <c r="A305" t="s">
        <v>373</v>
      </c>
      <c r="B305" s="1">
        <v>46093</v>
      </c>
      <c r="C305" t="s">
        <v>31</v>
      </c>
      <c r="D305" t="s">
        <v>14</v>
      </c>
      <c r="E305" t="s">
        <v>22</v>
      </c>
      <c r="F305" t="s">
        <v>23</v>
      </c>
      <c r="G305" t="s">
        <v>24</v>
      </c>
      <c r="H305" t="s">
        <v>39</v>
      </c>
      <c r="I305">
        <v>1</v>
      </c>
      <c r="J305">
        <v>90</v>
      </c>
      <c r="K305">
        <v>0.03</v>
      </c>
      <c r="L305">
        <v>87.3</v>
      </c>
    </row>
    <row r="306" spans="1:12">
      <c r="A306" t="s">
        <v>1150</v>
      </c>
      <c r="B306" s="1">
        <v>46068</v>
      </c>
      <c r="C306" t="s">
        <v>31</v>
      </c>
      <c r="D306" t="s">
        <v>41</v>
      </c>
      <c r="E306" t="s">
        <v>15</v>
      </c>
      <c r="F306" t="s">
        <v>16</v>
      </c>
      <c r="G306" t="s">
        <v>57</v>
      </c>
      <c r="H306" t="s">
        <v>79</v>
      </c>
      <c r="I306">
        <v>4</v>
      </c>
      <c r="J306">
        <v>36.1</v>
      </c>
      <c r="K306">
        <v>0.1</v>
      </c>
      <c r="L306">
        <v>129.96</v>
      </c>
    </row>
    <row r="307" spans="1:12">
      <c r="A307" t="s">
        <v>375</v>
      </c>
      <c r="B307" s="1">
        <v>46338</v>
      </c>
      <c r="C307" t="s">
        <v>31</v>
      </c>
      <c r="D307" t="s">
        <v>14</v>
      </c>
      <c r="E307" t="s">
        <v>22</v>
      </c>
      <c r="F307" t="s">
        <v>16</v>
      </c>
      <c r="G307" t="s">
        <v>57</v>
      </c>
      <c r="H307" t="s">
        <v>79</v>
      </c>
      <c r="I307">
        <v>1</v>
      </c>
      <c r="J307">
        <v>36.1</v>
      </c>
      <c r="K307">
        <v>0.1</v>
      </c>
      <c r="L307">
        <v>32.49</v>
      </c>
    </row>
    <row r="308" spans="1:12">
      <c r="A308" t="s">
        <v>1148</v>
      </c>
      <c r="B308" s="1">
        <v>46268</v>
      </c>
      <c r="C308" t="s">
        <v>31</v>
      </c>
      <c r="D308" t="s">
        <v>35</v>
      </c>
      <c r="E308" t="s">
        <v>15</v>
      </c>
      <c r="F308" t="s">
        <v>48</v>
      </c>
      <c r="G308" t="s">
        <v>96</v>
      </c>
      <c r="H308" t="s">
        <v>39</v>
      </c>
      <c r="I308">
        <v>1</v>
      </c>
      <c r="J308">
        <v>2650</v>
      </c>
      <c r="K308">
        <v>0.08</v>
      </c>
      <c r="L308">
        <v>2438</v>
      </c>
    </row>
    <row r="309" spans="1:12">
      <c r="A309" t="s">
        <v>1144</v>
      </c>
      <c r="B309" s="1">
        <v>46278</v>
      </c>
      <c r="C309" t="s">
        <v>31</v>
      </c>
      <c r="D309" t="s">
        <v>35</v>
      </c>
      <c r="E309" t="s">
        <v>15</v>
      </c>
      <c r="F309" t="s">
        <v>23</v>
      </c>
      <c r="G309" t="s">
        <v>52</v>
      </c>
      <c r="H309" t="s">
        <v>33</v>
      </c>
      <c r="I309">
        <v>15</v>
      </c>
      <c r="J309">
        <v>477</v>
      </c>
      <c r="K309">
        <v>0.08</v>
      </c>
      <c r="L309">
        <v>6582.6</v>
      </c>
    </row>
    <row r="310" spans="1:12">
      <c r="A310" t="s">
        <v>378</v>
      </c>
      <c r="B310" s="1">
        <v>46285</v>
      </c>
      <c r="C310" t="s">
        <v>31</v>
      </c>
      <c r="D310" t="s">
        <v>41</v>
      </c>
      <c r="E310" t="s">
        <v>22</v>
      </c>
      <c r="F310" t="s">
        <v>27</v>
      </c>
      <c r="G310" t="s">
        <v>36</v>
      </c>
      <c r="H310" t="s">
        <v>33</v>
      </c>
      <c r="I310">
        <v>5</v>
      </c>
      <c r="J310">
        <v>750</v>
      </c>
      <c r="K310">
        <v>0.03</v>
      </c>
      <c r="L310">
        <v>3637.5</v>
      </c>
    </row>
    <row r="311" spans="1:12">
      <c r="A311" t="s">
        <v>1143</v>
      </c>
      <c r="B311" s="1">
        <v>46190</v>
      </c>
      <c r="C311" t="s">
        <v>31</v>
      </c>
      <c r="D311" t="s">
        <v>21</v>
      </c>
      <c r="E311" t="s">
        <v>15</v>
      </c>
      <c r="F311" t="s">
        <v>73</v>
      </c>
      <c r="G311" t="s">
        <v>129</v>
      </c>
      <c r="H311" t="s">
        <v>33</v>
      </c>
      <c r="I311">
        <v>3</v>
      </c>
      <c r="J311">
        <v>33.25</v>
      </c>
      <c r="K311">
        <v>0</v>
      </c>
      <c r="L311">
        <v>99.75</v>
      </c>
    </row>
    <row r="312" spans="1:12">
      <c r="A312" t="s">
        <v>1138</v>
      </c>
      <c r="B312" s="1">
        <v>46376</v>
      </c>
      <c r="C312" t="s">
        <v>31</v>
      </c>
      <c r="D312" t="s">
        <v>14</v>
      </c>
      <c r="E312" t="s">
        <v>22</v>
      </c>
      <c r="F312" t="s">
        <v>48</v>
      </c>
      <c r="G312" t="s">
        <v>71</v>
      </c>
      <c r="H312" t="s">
        <v>39</v>
      </c>
      <c r="I312">
        <v>1</v>
      </c>
      <c r="J312">
        <v>3200</v>
      </c>
      <c r="K312">
        <v>0.08</v>
      </c>
      <c r="L312">
        <v>2944</v>
      </c>
    </row>
    <row r="313" spans="1:12">
      <c r="A313" t="s">
        <v>1136</v>
      </c>
      <c r="B313" s="1">
        <v>46058</v>
      </c>
      <c r="C313" t="s">
        <v>31</v>
      </c>
      <c r="D313" t="s">
        <v>14</v>
      </c>
      <c r="E313" t="s">
        <v>15</v>
      </c>
      <c r="F313" t="s">
        <v>60</v>
      </c>
      <c r="G313" t="s">
        <v>61</v>
      </c>
      <c r="H313" t="s">
        <v>39</v>
      </c>
      <c r="I313">
        <v>1</v>
      </c>
      <c r="J313">
        <v>884</v>
      </c>
      <c r="K313">
        <v>0.08</v>
      </c>
      <c r="L313">
        <v>813.28000000000009</v>
      </c>
    </row>
    <row r="314" spans="1:12">
      <c r="A314" t="s">
        <v>1133</v>
      </c>
      <c r="B314" s="1">
        <v>46148</v>
      </c>
      <c r="C314" t="s">
        <v>31</v>
      </c>
      <c r="D314" t="s">
        <v>14</v>
      </c>
      <c r="E314" t="s">
        <v>22</v>
      </c>
      <c r="F314" t="s">
        <v>48</v>
      </c>
      <c r="G314" t="s">
        <v>96</v>
      </c>
      <c r="H314" t="s">
        <v>33</v>
      </c>
      <c r="I314">
        <v>1</v>
      </c>
      <c r="J314">
        <v>2500</v>
      </c>
      <c r="K314">
        <v>0.05</v>
      </c>
      <c r="L314">
        <v>2375</v>
      </c>
    </row>
    <row r="315" spans="1:12">
      <c r="A315" t="s">
        <v>1130</v>
      </c>
      <c r="B315" s="1">
        <v>46342</v>
      </c>
      <c r="C315" t="s">
        <v>31</v>
      </c>
      <c r="D315" t="s">
        <v>41</v>
      </c>
      <c r="E315" t="s">
        <v>22</v>
      </c>
      <c r="F315" t="s">
        <v>16</v>
      </c>
      <c r="G315" t="s">
        <v>42</v>
      </c>
      <c r="H315" t="s">
        <v>39</v>
      </c>
      <c r="I315">
        <v>8</v>
      </c>
      <c r="J315">
        <v>46.8</v>
      </c>
      <c r="K315">
        <v>0.1</v>
      </c>
      <c r="L315">
        <v>336.96</v>
      </c>
    </row>
    <row r="316" spans="1:12">
      <c r="A316" t="s">
        <v>384</v>
      </c>
      <c r="B316" s="1">
        <v>46293</v>
      </c>
      <c r="C316" t="s">
        <v>31</v>
      </c>
      <c r="D316" t="s">
        <v>14</v>
      </c>
      <c r="E316" t="s">
        <v>22</v>
      </c>
      <c r="F316" t="s">
        <v>23</v>
      </c>
      <c r="G316" t="s">
        <v>138</v>
      </c>
      <c r="H316" t="s">
        <v>79</v>
      </c>
      <c r="I316">
        <v>4</v>
      </c>
      <c r="J316">
        <v>60</v>
      </c>
      <c r="K316">
        <v>0.08</v>
      </c>
      <c r="L316">
        <v>220.8</v>
      </c>
    </row>
    <row r="317" spans="1:12">
      <c r="A317" t="s">
        <v>1126</v>
      </c>
      <c r="B317" s="1">
        <v>46237</v>
      </c>
      <c r="C317" t="s">
        <v>31</v>
      </c>
      <c r="D317" t="s">
        <v>21</v>
      </c>
      <c r="E317" t="s">
        <v>22</v>
      </c>
      <c r="F317" t="s">
        <v>73</v>
      </c>
      <c r="G317" t="s">
        <v>74</v>
      </c>
      <c r="H317" t="s">
        <v>33</v>
      </c>
      <c r="I317">
        <v>1</v>
      </c>
      <c r="J317">
        <v>8</v>
      </c>
      <c r="K317">
        <v>0.05</v>
      </c>
      <c r="L317">
        <v>7.6</v>
      </c>
    </row>
    <row r="318" spans="1:12">
      <c r="A318" t="s">
        <v>386</v>
      </c>
      <c r="B318" s="1">
        <v>46278</v>
      </c>
      <c r="C318" t="s">
        <v>31</v>
      </c>
      <c r="D318" t="s">
        <v>41</v>
      </c>
      <c r="E318" t="s">
        <v>22</v>
      </c>
      <c r="F318" t="s">
        <v>16</v>
      </c>
      <c r="G318" t="s">
        <v>112</v>
      </c>
      <c r="H318" t="s">
        <v>33</v>
      </c>
      <c r="I318">
        <v>5</v>
      </c>
      <c r="J318">
        <v>65</v>
      </c>
      <c r="K318">
        <v>0.05</v>
      </c>
      <c r="L318">
        <v>308.75</v>
      </c>
    </row>
    <row r="319" spans="1:12">
      <c r="A319" t="s">
        <v>1120</v>
      </c>
      <c r="B319" s="1">
        <v>46303</v>
      </c>
      <c r="C319" t="s">
        <v>31</v>
      </c>
      <c r="D319" t="s">
        <v>35</v>
      </c>
      <c r="E319" t="s">
        <v>22</v>
      </c>
      <c r="F319" t="s">
        <v>48</v>
      </c>
      <c r="G319" t="s">
        <v>49</v>
      </c>
      <c r="H319" t="s">
        <v>79</v>
      </c>
      <c r="I319">
        <v>2</v>
      </c>
      <c r="J319">
        <v>4200</v>
      </c>
      <c r="K319">
        <v>0.15</v>
      </c>
      <c r="L319">
        <v>7140</v>
      </c>
    </row>
    <row r="320" spans="1:12">
      <c r="A320" t="s">
        <v>1111</v>
      </c>
      <c r="B320" s="1">
        <v>46353</v>
      </c>
      <c r="C320" t="s">
        <v>31</v>
      </c>
      <c r="D320" t="s">
        <v>14</v>
      </c>
      <c r="E320" t="s">
        <v>22</v>
      </c>
      <c r="F320" t="s">
        <v>23</v>
      </c>
      <c r="G320" t="s">
        <v>24</v>
      </c>
      <c r="H320" t="s">
        <v>79</v>
      </c>
      <c r="I320">
        <v>3</v>
      </c>
      <c r="J320">
        <v>91.8</v>
      </c>
      <c r="K320">
        <v>0.05</v>
      </c>
      <c r="L320">
        <v>261.62999999999994</v>
      </c>
    </row>
    <row r="321" spans="1:12">
      <c r="A321" t="s">
        <v>1110</v>
      </c>
      <c r="B321" s="1">
        <v>46087</v>
      </c>
      <c r="C321" t="s">
        <v>31</v>
      </c>
      <c r="D321" t="s">
        <v>35</v>
      </c>
      <c r="E321" t="s">
        <v>22</v>
      </c>
      <c r="F321" t="s">
        <v>23</v>
      </c>
      <c r="G321" t="s">
        <v>38</v>
      </c>
      <c r="H321" t="s">
        <v>79</v>
      </c>
      <c r="I321">
        <v>7</v>
      </c>
      <c r="J321">
        <v>326.39999999999998</v>
      </c>
      <c r="K321">
        <v>0.1</v>
      </c>
      <c r="L321">
        <v>2056.3199999999997</v>
      </c>
    </row>
    <row r="322" spans="1:12">
      <c r="A322" t="s">
        <v>390</v>
      </c>
      <c r="B322" s="1">
        <v>46052</v>
      </c>
      <c r="C322" t="s">
        <v>31</v>
      </c>
      <c r="D322" t="s">
        <v>14</v>
      </c>
      <c r="E322" t="s">
        <v>22</v>
      </c>
      <c r="F322" t="s">
        <v>16</v>
      </c>
      <c r="G322" t="s">
        <v>65</v>
      </c>
      <c r="H322" t="s">
        <v>33</v>
      </c>
      <c r="I322">
        <v>4</v>
      </c>
      <c r="J322">
        <v>80</v>
      </c>
      <c r="K322">
        <v>0.08</v>
      </c>
      <c r="L322">
        <v>294.40000000000003</v>
      </c>
    </row>
    <row r="323" spans="1:12">
      <c r="A323" t="s">
        <v>1109</v>
      </c>
      <c r="B323" s="1">
        <v>46305</v>
      </c>
      <c r="C323" t="s">
        <v>31</v>
      </c>
      <c r="D323" t="s">
        <v>21</v>
      </c>
      <c r="E323" t="s">
        <v>15</v>
      </c>
      <c r="F323" t="s">
        <v>60</v>
      </c>
      <c r="G323" t="s">
        <v>61</v>
      </c>
      <c r="H323" t="s">
        <v>39</v>
      </c>
      <c r="I323">
        <v>1</v>
      </c>
      <c r="J323">
        <v>807.5</v>
      </c>
      <c r="K323">
        <v>0.05</v>
      </c>
      <c r="L323">
        <v>767.125</v>
      </c>
    </row>
    <row r="324" spans="1:12">
      <c r="A324" t="s">
        <v>1103</v>
      </c>
      <c r="B324" s="1">
        <v>46270</v>
      </c>
      <c r="C324" t="s">
        <v>31</v>
      </c>
      <c r="D324" t="s">
        <v>21</v>
      </c>
      <c r="E324" t="s">
        <v>22</v>
      </c>
      <c r="F324" t="s">
        <v>16</v>
      </c>
      <c r="G324" t="s">
        <v>65</v>
      </c>
      <c r="H324" t="s">
        <v>79</v>
      </c>
      <c r="I324">
        <v>7</v>
      </c>
      <c r="J324">
        <v>76</v>
      </c>
      <c r="K324">
        <v>0.05</v>
      </c>
      <c r="L324">
        <v>505.4</v>
      </c>
    </row>
    <row r="325" spans="1:12">
      <c r="A325" t="s">
        <v>1102</v>
      </c>
      <c r="B325" s="1">
        <v>46148</v>
      </c>
      <c r="C325" t="s">
        <v>31</v>
      </c>
      <c r="D325" t="s">
        <v>14</v>
      </c>
      <c r="E325" t="s">
        <v>22</v>
      </c>
      <c r="F325" t="s">
        <v>73</v>
      </c>
      <c r="G325" t="s">
        <v>129</v>
      </c>
      <c r="H325" t="s">
        <v>79</v>
      </c>
      <c r="I325">
        <v>8</v>
      </c>
      <c r="J325">
        <v>35</v>
      </c>
      <c r="K325">
        <v>0.1</v>
      </c>
      <c r="L325">
        <v>252</v>
      </c>
    </row>
    <row r="326" spans="1:12">
      <c r="A326" t="s">
        <v>1090</v>
      </c>
      <c r="B326" s="1">
        <v>46046</v>
      </c>
      <c r="C326" t="s">
        <v>31</v>
      </c>
      <c r="D326" t="s">
        <v>35</v>
      </c>
      <c r="E326" t="s">
        <v>22</v>
      </c>
      <c r="F326" t="s">
        <v>27</v>
      </c>
      <c r="G326" t="s">
        <v>36</v>
      </c>
      <c r="H326" t="s">
        <v>39</v>
      </c>
      <c r="I326">
        <v>7</v>
      </c>
      <c r="J326">
        <v>780</v>
      </c>
      <c r="K326">
        <v>0.03</v>
      </c>
      <c r="L326">
        <v>5296.2</v>
      </c>
    </row>
    <row r="327" spans="1:12">
      <c r="A327" t="s">
        <v>1080</v>
      </c>
      <c r="B327" s="1">
        <v>46321</v>
      </c>
      <c r="C327" t="s">
        <v>31</v>
      </c>
      <c r="D327" t="s">
        <v>21</v>
      </c>
      <c r="E327" t="s">
        <v>22</v>
      </c>
      <c r="F327" t="s">
        <v>23</v>
      </c>
      <c r="G327" t="s">
        <v>24</v>
      </c>
      <c r="H327" t="s">
        <v>39</v>
      </c>
      <c r="I327">
        <v>3</v>
      </c>
      <c r="J327">
        <v>93.6</v>
      </c>
      <c r="K327">
        <v>0.05</v>
      </c>
      <c r="L327">
        <v>266.75999999999993</v>
      </c>
    </row>
    <row r="328" spans="1:12">
      <c r="A328" t="s">
        <v>1072</v>
      </c>
      <c r="B328" s="1">
        <v>46114</v>
      </c>
      <c r="C328" t="s">
        <v>31</v>
      </c>
      <c r="D328" t="s">
        <v>14</v>
      </c>
      <c r="E328" t="s">
        <v>15</v>
      </c>
      <c r="F328" t="s">
        <v>16</v>
      </c>
      <c r="G328" t="s">
        <v>57</v>
      </c>
      <c r="H328" t="s">
        <v>33</v>
      </c>
      <c r="I328">
        <v>8</v>
      </c>
      <c r="J328">
        <v>38</v>
      </c>
      <c r="K328">
        <v>0</v>
      </c>
      <c r="L328">
        <v>304</v>
      </c>
    </row>
    <row r="329" spans="1:12">
      <c r="A329" t="s">
        <v>397</v>
      </c>
      <c r="B329" s="1">
        <v>46065</v>
      </c>
      <c r="C329" t="s">
        <v>31</v>
      </c>
      <c r="D329" t="s">
        <v>41</v>
      </c>
      <c r="E329" t="s">
        <v>22</v>
      </c>
      <c r="F329" t="s">
        <v>73</v>
      </c>
      <c r="G329" t="s">
        <v>129</v>
      </c>
      <c r="H329" t="s">
        <v>79</v>
      </c>
      <c r="I329">
        <v>3</v>
      </c>
      <c r="J329">
        <v>35</v>
      </c>
      <c r="K329">
        <v>0.08</v>
      </c>
      <c r="L329">
        <v>96.600000000000009</v>
      </c>
    </row>
    <row r="330" spans="1:12">
      <c r="A330" t="s">
        <v>1069</v>
      </c>
      <c r="B330" s="1">
        <v>46024</v>
      </c>
      <c r="C330" t="s">
        <v>31</v>
      </c>
      <c r="D330" t="s">
        <v>35</v>
      </c>
      <c r="E330" t="s">
        <v>15</v>
      </c>
      <c r="F330" t="s">
        <v>60</v>
      </c>
      <c r="G330" t="s">
        <v>76</v>
      </c>
      <c r="H330" t="s">
        <v>33</v>
      </c>
      <c r="I330">
        <v>2</v>
      </c>
      <c r="J330">
        <v>665</v>
      </c>
      <c r="K330">
        <v>0</v>
      </c>
      <c r="L330">
        <v>1330</v>
      </c>
    </row>
    <row r="331" spans="1:12">
      <c r="A331" t="s">
        <v>1068</v>
      </c>
      <c r="B331" s="1">
        <v>46114</v>
      </c>
      <c r="C331" t="s">
        <v>31</v>
      </c>
      <c r="D331" t="s">
        <v>21</v>
      </c>
      <c r="E331" t="s">
        <v>15</v>
      </c>
      <c r="F331" t="s">
        <v>48</v>
      </c>
      <c r="G331" t="s">
        <v>49</v>
      </c>
      <c r="H331" t="s">
        <v>79</v>
      </c>
      <c r="I331">
        <v>2</v>
      </c>
      <c r="J331">
        <v>4200</v>
      </c>
      <c r="K331">
        <v>0.1</v>
      </c>
      <c r="L331">
        <v>7560</v>
      </c>
    </row>
    <row r="332" spans="1:12">
      <c r="A332" t="s">
        <v>1066</v>
      </c>
      <c r="B332" s="1">
        <v>46167</v>
      </c>
      <c r="C332" t="s">
        <v>31</v>
      </c>
      <c r="D332" t="s">
        <v>14</v>
      </c>
      <c r="E332" t="s">
        <v>22</v>
      </c>
      <c r="F332" t="s">
        <v>48</v>
      </c>
      <c r="G332" t="s">
        <v>71</v>
      </c>
      <c r="H332" t="s">
        <v>39</v>
      </c>
      <c r="I332">
        <v>1</v>
      </c>
      <c r="J332">
        <v>3200</v>
      </c>
      <c r="K332">
        <v>0.1</v>
      </c>
      <c r="L332">
        <v>2880</v>
      </c>
    </row>
    <row r="333" spans="1:12">
      <c r="A333" t="s">
        <v>1065</v>
      </c>
      <c r="B333" s="1">
        <v>46162</v>
      </c>
      <c r="C333" t="s">
        <v>31</v>
      </c>
      <c r="D333" t="s">
        <v>35</v>
      </c>
      <c r="E333" t="s">
        <v>15</v>
      </c>
      <c r="F333" t="s">
        <v>60</v>
      </c>
      <c r="G333" t="s">
        <v>67</v>
      </c>
      <c r="H333" t="s">
        <v>79</v>
      </c>
      <c r="I333">
        <v>1</v>
      </c>
      <c r="J333">
        <v>1425</v>
      </c>
      <c r="K333">
        <v>0.05</v>
      </c>
      <c r="L333">
        <v>1353.75</v>
      </c>
    </row>
    <row r="334" spans="1:12">
      <c r="A334" t="s">
        <v>1064</v>
      </c>
      <c r="B334" s="1">
        <v>46185</v>
      </c>
      <c r="C334" t="s">
        <v>31</v>
      </c>
      <c r="D334" t="s">
        <v>41</v>
      </c>
      <c r="E334" t="s">
        <v>22</v>
      </c>
      <c r="F334" t="s">
        <v>16</v>
      </c>
      <c r="G334" t="s">
        <v>65</v>
      </c>
      <c r="H334" t="s">
        <v>39</v>
      </c>
      <c r="I334">
        <v>5</v>
      </c>
      <c r="J334">
        <v>80</v>
      </c>
      <c r="K334">
        <v>0.2</v>
      </c>
      <c r="L334">
        <v>320</v>
      </c>
    </row>
    <row r="335" spans="1:12">
      <c r="A335" t="s">
        <v>1063</v>
      </c>
      <c r="B335" s="1">
        <v>46305</v>
      </c>
      <c r="C335" t="s">
        <v>31</v>
      </c>
      <c r="D335" t="s">
        <v>21</v>
      </c>
      <c r="E335" t="s">
        <v>15</v>
      </c>
      <c r="F335" t="s">
        <v>60</v>
      </c>
      <c r="G335" t="s">
        <v>91</v>
      </c>
      <c r="H335" t="s">
        <v>33</v>
      </c>
      <c r="I335">
        <v>3</v>
      </c>
      <c r="J335">
        <v>580</v>
      </c>
      <c r="K335">
        <v>0.03</v>
      </c>
      <c r="L335">
        <v>1687.8</v>
      </c>
    </row>
    <row r="336" spans="1:12">
      <c r="A336" t="s">
        <v>1057</v>
      </c>
      <c r="B336" s="1">
        <v>46198</v>
      </c>
      <c r="C336" t="s">
        <v>31</v>
      </c>
      <c r="D336" t="s">
        <v>35</v>
      </c>
      <c r="E336" t="s">
        <v>22</v>
      </c>
      <c r="F336" t="s">
        <v>73</v>
      </c>
      <c r="G336" t="s">
        <v>127</v>
      </c>
      <c r="H336" t="s">
        <v>33</v>
      </c>
      <c r="I336">
        <v>9</v>
      </c>
      <c r="J336">
        <v>25</v>
      </c>
      <c r="K336">
        <v>0.08</v>
      </c>
      <c r="L336">
        <v>207</v>
      </c>
    </row>
    <row r="337" spans="1:12">
      <c r="A337" t="s">
        <v>1046</v>
      </c>
      <c r="B337" s="1">
        <v>46144</v>
      </c>
      <c r="C337" t="s">
        <v>31</v>
      </c>
      <c r="D337" t="s">
        <v>21</v>
      </c>
      <c r="E337" t="s">
        <v>22</v>
      </c>
      <c r="F337" t="s">
        <v>23</v>
      </c>
      <c r="G337" t="s">
        <v>38</v>
      </c>
      <c r="H337" t="s">
        <v>79</v>
      </c>
      <c r="I337">
        <v>3</v>
      </c>
      <c r="J337">
        <v>320</v>
      </c>
      <c r="K337">
        <v>0.2</v>
      </c>
      <c r="L337">
        <v>768</v>
      </c>
    </row>
    <row r="338" spans="1:12">
      <c r="A338" t="s">
        <v>1045</v>
      </c>
      <c r="B338" s="1">
        <v>46175</v>
      </c>
      <c r="C338" t="s">
        <v>31</v>
      </c>
      <c r="D338" t="s">
        <v>14</v>
      </c>
      <c r="E338" t="s">
        <v>22</v>
      </c>
      <c r="F338" t="s">
        <v>16</v>
      </c>
      <c r="G338" t="s">
        <v>65</v>
      </c>
      <c r="H338" t="s">
        <v>39</v>
      </c>
      <c r="I338">
        <v>5</v>
      </c>
      <c r="J338">
        <v>77.599999999999994</v>
      </c>
      <c r="K338">
        <v>0.1</v>
      </c>
      <c r="L338">
        <v>349.2</v>
      </c>
    </row>
    <row r="339" spans="1:12">
      <c r="A339" t="s">
        <v>1043</v>
      </c>
      <c r="B339" s="1">
        <v>46040</v>
      </c>
      <c r="C339" t="s">
        <v>31</v>
      </c>
      <c r="D339" t="s">
        <v>35</v>
      </c>
      <c r="E339" t="s">
        <v>15</v>
      </c>
      <c r="F339" t="s">
        <v>48</v>
      </c>
      <c r="G339" t="s">
        <v>54</v>
      </c>
      <c r="H339" t="s">
        <v>39</v>
      </c>
      <c r="I339">
        <v>1</v>
      </c>
      <c r="J339">
        <v>1800</v>
      </c>
      <c r="K339">
        <v>0.05</v>
      </c>
      <c r="L339">
        <v>1710</v>
      </c>
    </row>
    <row r="340" spans="1:12">
      <c r="A340" t="s">
        <v>1037</v>
      </c>
      <c r="B340" s="1">
        <v>46024</v>
      </c>
      <c r="C340" t="s">
        <v>31</v>
      </c>
      <c r="D340" t="s">
        <v>41</v>
      </c>
      <c r="E340" t="s">
        <v>15</v>
      </c>
      <c r="F340" t="s">
        <v>60</v>
      </c>
      <c r="G340" t="s">
        <v>91</v>
      </c>
      <c r="H340" t="s">
        <v>79</v>
      </c>
      <c r="I340">
        <v>1</v>
      </c>
      <c r="J340">
        <v>603.20000000000005</v>
      </c>
      <c r="K340">
        <v>0.15</v>
      </c>
      <c r="L340">
        <v>512.72</v>
      </c>
    </row>
    <row r="341" spans="1:12">
      <c r="A341" t="s">
        <v>1023</v>
      </c>
      <c r="B341" s="1">
        <v>46182</v>
      </c>
      <c r="C341" t="s">
        <v>31</v>
      </c>
      <c r="D341" t="s">
        <v>21</v>
      </c>
      <c r="E341" t="s">
        <v>15</v>
      </c>
      <c r="F341" t="s">
        <v>16</v>
      </c>
      <c r="G341" t="s">
        <v>69</v>
      </c>
      <c r="H341" t="s">
        <v>33</v>
      </c>
      <c r="I341">
        <v>3</v>
      </c>
      <c r="J341">
        <v>57.2</v>
      </c>
      <c r="K341">
        <v>0</v>
      </c>
      <c r="L341">
        <v>171.60000000000002</v>
      </c>
    </row>
    <row r="342" spans="1:12">
      <c r="A342" t="s">
        <v>1014</v>
      </c>
      <c r="B342" s="1">
        <v>46346</v>
      </c>
      <c r="C342" t="s">
        <v>31</v>
      </c>
      <c r="D342" t="s">
        <v>14</v>
      </c>
      <c r="E342" t="s">
        <v>22</v>
      </c>
      <c r="F342" t="s">
        <v>16</v>
      </c>
      <c r="G342" t="s">
        <v>57</v>
      </c>
      <c r="H342" t="s">
        <v>39</v>
      </c>
      <c r="I342">
        <v>1</v>
      </c>
      <c r="J342">
        <v>39.520000000000003</v>
      </c>
      <c r="K342">
        <v>0.03</v>
      </c>
      <c r="L342">
        <v>38.334400000000002</v>
      </c>
    </row>
    <row r="343" spans="1:12">
      <c r="A343" t="s">
        <v>1005</v>
      </c>
      <c r="B343" s="1">
        <v>46168</v>
      </c>
      <c r="C343" t="s">
        <v>31</v>
      </c>
      <c r="D343" t="s">
        <v>35</v>
      </c>
      <c r="E343" t="s">
        <v>22</v>
      </c>
      <c r="F343" t="s">
        <v>60</v>
      </c>
      <c r="G343" t="s">
        <v>67</v>
      </c>
      <c r="H343" t="s">
        <v>33</v>
      </c>
      <c r="I343">
        <v>2</v>
      </c>
      <c r="J343">
        <v>1530</v>
      </c>
      <c r="K343">
        <v>0.08</v>
      </c>
      <c r="L343">
        <v>2815.2000000000003</v>
      </c>
    </row>
    <row r="344" spans="1:12">
      <c r="A344" t="s">
        <v>998</v>
      </c>
      <c r="B344" s="1">
        <v>46317</v>
      </c>
      <c r="C344" t="s">
        <v>31</v>
      </c>
      <c r="D344" t="s">
        <v>14</v>
      </c>
      <c r="E344" t="s">
        <v>15</v>
      </c>
      <c r="F344" t="s">
        <v>16</v>
      </c>
      <c r="G344" t="s">
        <v>65</v>
      </c>
      <c r="H344" t="s">
        <v>79</v>
      </c>
      <c r="I344">
        <v>1</v>
      </c>
      <c r="J344">
        <v>77.599999999999994</v>
      </c>
      <c r="K344">
        <v>0.15</v>
      </c>
      <c r="L344">
        <v>65.959999999999994</v>
      </c>
    </row>
    <row r="345" spans="1:12">
      <c r="A345" t="s">
        <v>990</v>
      </c>
      <c r="B345" s="1">
        <v>46126</v>
      </c>
      <c r="C345" t="s">
        <v>31</v>
      </c>
      <c r="D345" t="s">
        <v>35</v>
      </c>
      <c r="E345" t="s">
        <v>22</v>
      </c>
      <c r="F345" t="s">
        <v>48</v>
      </c>
      <c r="G345" t="s">
        <v>49</v>
      </c>
      <c r="H345" t="s">
        <v>33</v>
      </c>
      <c r="I345">
        <v>1</v>
      </c>
      <c r="J345">
        <v>4074</v>
      </c>
      <c r="K345">
        <v>0.1</v>
      </c>
      <c r="L345">
        <v>3666.6</v>
      </c>
    </row>
    <row r="346" spans="1:12">
      <c r="A346" t="s">
        <v>984</v>
      </c>
      <c r="B346" s="1">
        <v>46136</v>
      </c>
      <c r="C346" t="s">
        <v>31</v>
      </c>
      <c r="D346" t="s">
        <v>21</v>
      </c>
      <c r="E346" t="s">
        <v>22</v>
      </c>
      <c r="F346" t="s">
        <v>16</v>
      </c>
      <c r="G346" t="s">
        <v>69</v>
      </c>
      <c r="H346" t="s">
        <v>79</v>
      </c>
      <c r="I346">
        <v>1</v>
      </c>
      <c r="J346">
        <v>53.35</v>
      </c>
      <c r="K346">
        <v>0.1</v>
      </c>
      <c r="L346">
        <v>48.015000000000001</v>
      </c>
    </row>
    <row r="347" spans="1:12">
      <c r="A347" t="s">
        <v>979</v>
      </c>
      <c r="B347" s="1">
        <v>46363</v>
      </c>
      <c r="C347" t="s">
        <v>31</v>
      </c>
      <c r="D347" t="s">
        <v>41</v>
      </c>
      <c r="E347" t="s">
        <v>22</v>
      </c>
      <c r="F347" t="s">
        <v>23</v>
      </c>
      <c r="G347" t="s">
        <v>138</v>
      </c>
      <c r="H347" t="s">
        <v>79</v>
      </c>
      <c r="I347">
        <v>3</v>
      </c>
      <c r="J347">
        <v>60</v>
      </c>
      <c r="K347">
        <v>0.03</v>
      </c>
      <c r="L347">
        <v>174.6</v>
      </c>
    </row>
    <row r="348" spans="1:12">
      <c r="A348" t="s">
        <v>978</v>
      </c>
      <c r="B348" s="1">
        <v>46097</v>
      </c>
      <c r="C348" t="s">
        <v>31</v>
      </c>
      <c r="D348" t="s">
        <v>14</v>
      </c>
      <c r="E348" t="s">
        <v>22</v>
      </c>
      <c r="F348" t="s">
        <v>27</v>
      </c>
      <c r="G348" t="s">
        <v>155</v>
      </c>
      <c r="H348" t="s">
        <v>33</v>
      </c>
      <c r="I348">
        <v>6</v>
      </c>
      <c r="J348">
        <v>171</v>
      </c>
      <c r="K348">
        <v>0.05</v>
      </c>
      <c r="L348">
        <v>974.69999999999993</v>
      </c>
    </row>
    <row r="349" spans="1:12">
      <c r="A349" t="s">
        <v>975</v>
      </c>
      <c r="B349" s="1">
        <v>46043</v>
      </c>
      <c r="C349" t="s">
        <v>31</v>
      </c>
      <c r="D349" t="s">
        <v>35</v>
      </c>
      <c r="E349" t="s">
        <v>22</v>
      </c>
      <c r="F349" t="s">
        <v>60</v>
      </c>
      <c r="G349" t="s">
        <v>61</v>
      </c>
      <c r="H349" t="s">
        <v>33</v>
      </c>
      <c r="I349">
        <v>1</v>
      </c>
      <c r="J349">
        <v>824.5</v>
      </c>
      <c r="K349">
        <v>0.03</v>
      </c>
      <c r="L349">
        <v>799.76499999999999</v>
      </c>
    </row>
    <row r="350" spans="1:12">
      <c r="A350" t="s">
        <v>971</v>
      </c>
      <c r="B350" s="1">
        <v>46054</v>
      </c>
      <c r="C350" t="s">
        <v>31</v>
      </c>
      <c r="D350" t="s">
        <v>41</v>
      </c>
      <c r="E350" t="s">
        <v>22</v>
      </c>
      <c r="F350" t="s">
        <v>27</v>
      </c>
      <c r="G350" t="s">
        <v>32</v>
      </c>
      <c r="H350" t="s">
        <v>33</v>
      </c>
      <c r="I350">
        <v>1</v>
      </c>
      <c r="J350">
        <v>296.8</v>
      </c>
      <c r="K350">
        <v>0.05</v>
      </c>
      <c r="L350">
        <v>281.95999999999998</v>
      </c>
    </row>
    <row r="351" spans="1:12">
      <c r="A351" t="s">
        <v>965</v>
      </c>
      <c r="B351" s="1">
        <v>46111</v>
      </c>
      <c r="C351" t="s">
        <v>31</v>
      </c>
      <c r="D351" t="s">
        <v>14</v>
      </c>
      <c r="E351" t="s">
        <v>22</v>
      </c>
      <c r="F351" t="s">
        <v>60</v>
      </c>
      <c r="G351" t="s">
        <v>76</v>
      </c>
      <c r="H351" t="s">
        <v>33</v>
      </c>
      <c r="I351">
        <v>1</v>
      </c>
      <c r="J351">
        <v>665</v>
      </c>
      <c r="K351">
        <v>0</v>
      </c>
      <c r="L351">
        <v>665</v>
      </c>
    </row>
    <row r="352" spans="1:12">
      <c r="A352" t="s">
        <v>420</v>
      </c>
      <c r="B352" s="1">
        <v>46169</v>
      </c>
      <c r="C352" t="s">
        <v>31</v>
      </c>
      <c r="D352" t="s">
        <v>21</v>
      </c>
      <c r="E352" t="s">
        <v>22</v>
      </c>
      <c r="F352" t="s">
        <v>60</v>
      </c>
      <c r="G352" t="s">
        <v>76</v>
      </c>
      <c r="H352" t="s">
        <v>39</v>
      </c>
      <c r="I352">
        <v>1</v>
      </c>
      <c r="J352">
        <v>742</v>
      </c>
      <c r="K352">
        <v>0.2</v>
      </c>
      <c r="L352">
        <v>593.6</v>
      </c>
    </row>
    <row r="353" spans="1:12">
      <c r="A353" t="s">
        <v>964</v>
      </c>
      <c r="B353" s="1">
        <v>46306</v>
      </c>
      <c r="C353" t="s">
        <v>31</v>
      </c>
      <c r="D353" t="s">
        <v>14</v>
      </c>
      <c r="E353" t="s">
        <v>22</v>
      </c>
      <c r="F353" t="s">
        <v>16</v>
      </c>
      <c r="G353" t="s">
        <v>65</v>
      </c>
      <c r="H353" t="s">
        <v>39</v>
      </c>
      <c r="I353">
        <v>4</v>
      </c>
      <c r="J353">
        <v>76</v>
      </c>
      <c r="K353">
        <v>0.03</v>
      </c>
      <c r="L353">
        <v>294.88</v>
      </c>
    </row>
    <row r="354" spans="1:12">
      <c r="A354" t="s">
        <v>962</v>
      </c>
      <c r="B354" s="1">
        <v>46234</v>
      </c>
      <c r="C354" t="s">
        <v>31</v>
      </c>
      <c r="D354" t="s">
        <v>14</v>
      </c>
      <c r="E354" t="s">
        <v>22</v>
      </c>
      <c r="F354" t="s">
        <v>16</v>
      </c>
      <c r="G354" t="s">
        <v>112</v>
      </c>
      <c r="H354" t="s">
        <v>33</v>
      </c>
      <c r="I354">
        <v>5</v>
      </c>
      <c r="J354">
        <v>63.05</v>
      </c>
      <c r="K354">
        <v>0.05</v>
      </c>
      <c r="L354">
        <v>299.48750000000001</v>
      </c>
    </row>
    <row r="355" spans="1:12">
      <c r="A355" t="s">
        <v>960</v>
      </c>
      <c r="B355" s="1">
        <v>46318</v>
      </c>
      <c r="C355" t="s">
        <v>31</v>
      </c>
      <c r="D355" t="s">
        <v>14</v>
      </c>
      <c r="E355" t="s">
        <v>15</v>
      </c>
      <c r="F355" t="s">
        <v>23</v>
      </c>
      <c r="G355" t="s">
        <v>38</v>
      </c>
      <c r="H355" t="s">
        <v>39</v>
      </c>
      <c r="I355">
        <v>1</v>
      </c>
      <c r="J355">
        <v>320</v>
      </c>
      <c r="K355">
        <v>0.1</v>
      </c>
      <c r="L355">
        <v>288</v>
      </c>
    </row>
    <row r="356" spans="1:12">
      <c r="A356" t="s">
        <v>958</v>
      </c>
      <c r="B356" s="1">
        <v>46165</v>
      </c>
      <c r="C356" t="s">
        <v>31</v>
      </c>
      <c r="D356" t="s">
        <v>21</v>
      </c>
      <c r="E356" t="s">
        <v>22</v>
      </c>
      <c r="F356" t="s">
        <v>60</v>
      </c>
      <c r="G356" t="s">
        <v>61</v>
      </c>
      <c r="H356" t="s">
        <v>79</v>
      </c>
      <c r="I356">
        <v>1</v>
      </c>
      <c r="J356">
        <v>807.5</v>
      </c>
      <c r="K356">
        <v>0</v>
      </c>
      <c r="L356">
        <v>807.5</v>
      </c>
    </row>
    <row r="357" spans="1:12">
      <c r="A357" t="s">
        <v>939</v>
      </c>
      <c r="B357" s="1">
        <v>46367</v>
      </c>
      <c r="C357" t="s">
        <v>31</v>
      </c>
      <c r="D357" t="s">
        <v>35</v>
      </c>
      <c r="E357" t="s">
        <v>22</v>
      </c>
      <c r="F357" t="s">
        <v>23</v>
      </c>
      <c r="G357" t="s">
        <v>24</v>
      </c>
      <c r="H357" t="s">
        <v>79</v>
      </c>
      <c r="I357">
        <v>5</v>
      </c>
      <c r="J357">
        <v>90</v>
      </c>
      <c r="K357">
        <v>0</v>
      </c>
      <c r="L357">
        <v>450</v>
      </c>
    </row>
    <row r="358" spans="1:12">
      <c r="A358" t="s">
        <v>935</v>
      </c>
      <c r="B358" s="1">
        <v>46318</v>
      </c>
      <c r="C358" t="s">
        <v>31</v>
      </c>
      <c r="D358" t="s">
        <v>41</v>
      </c>
      <c r="E358" t="s">
        <v>22</v>
      </c>
      <c r="F358" t="s">
        <v>60</v>
      </c>
      <c r="G358" t="s">
        <v>91</v>
      </c>
      <c r="H358" t="s">
        <v>39</v>
      </c>
      <c r="I358">
        <v>1</v>
      </c>
      <c r="J358">
        <v>580</v>
      </c>
      <c r="K358">
        <v>0.08</v>
      </c>
      <c r="L358">
        <v>533.6</v>
      </c>
    </row>
    <row r="359" spans="1:12">
      <c r="A359" t="s">
        <v>925</v>
      </c>
      <c r="B359" s="1">
        <v>46291</v>
      </c>
      <c r="C359" t="s">
        <v>31</v>
      </c>
      <c r="D359" t="s">
        <v>35</v>
      </c>
      <c r="E359" t="s">
        <v>22</v>
      </c>
      <c r="F359" t="s">
        <v>48</v>
      </c>
      <c r="G359" t="s">
        <v>99</v>
      </c>
      <c r="H359" t="s">
        <v>79</v>
      </c>
      <c r="I359">
        <v>1</v>
      </c>
      <c r="J359">
        <v>3000</v>
      </c>
      <c r="K359">
        <v>0.03</v>
      </c>
      <c r="L359">
        <v>2910</v>
      </c>
    </row>
    <row r="360" spans="1:12">
      <c r="A360" t="s">
        <v>428</v>
      </c>
      <c r="B360" s="1">
        <v>46178</v>
      </c>
      <c r="C360" t="s">
        <v>31</v>
      </c>
      <c r="D360" t="s">
        <v>21</v>
      </c>
      <c r="E360" t="s">
        <v>22</v>
      </c>
      <c r="F360" t="s">
        <v>60</v>
      </c>
      <c r="G360" t="s">
        <v>67</v>
      </c>
      <c r="H360" t="s">
        <v>33</v>
      </c>
      <c r="I360">
        <v>1</v>
      </c>
      <c r="J360">
        <v>1500</v>
      </c>
      <c r="K360">
        <v>0.1</v>
      </c>
      <c r="L360">
        <v>1350</v>
      </c>
    </row>
    <row r="361" spans="1:12">
      <c r="A361" t="s">
        <v>919</v>
      </c>
      <c r="B361" s="1">
        <v>46171</v>
      </c>
      <c r="C361" t="s">
        <v>31</v>
      </c>
      <c r="D361" t="s">
        <v>41</v>
      </c>
      <c r="E361" t="s">
        <v>15</v>
      </c>
      <c r="F361" t="s">
        <v>48</v>
      </c>
      <c r="G361" t="s">
        <v>49</v>
      </c>
      <c r="H361" t="s">
        <v>79</v>
      </c>
      <c r="I361">
        <v>1</v>
      </c>
      <c r="J361">
        <v>4200</v>
      </c>
      <c r="K361">
        <v>0.1</v>
      </c>
      <c r="L361">
        <v>3780</v>
      </c>
    </row>
    <row r="362" spans="1:12">
      <c r="A362" t="s">
        <v>916</v>
      </c>
      <c r="B362" s="1">
        <v>46278</v>
      </c>
      <c r="C362" t="s">
        <v>31</v>
      </c>
      <c r="D362" t="s">
        <v>14</v>
      </c>
      <c r="E362" t="s">
        <v>22</v>
      </c>
      <c r="F362" t="s">
        <v>23</v>
      </c>
      <c r="G362" t="s">
        <v>52</v>
      </c>
      <c r="H362" t="s">
        <v>79</v>
      </c>
      <c r="I362">
        <v>6</v>
      </c>
      <c r="J362">
        <v>477</v>
      </c>
      <c r="K362">
        <v>0.1</v>
      </c>
      <c r="L362">
        <v>2575.8000000000002</v>
      </c>
    </row>
    <row r="363" spans="1:12">
      <c r="A363" t="s">
        <v>431</v>
      </c>
      <c r="B363" s="1">
        <v>46024</v>
      </c>
      <c r="C363" t="s">
        <v>31</v>
      </c>
      <c r="D363" t="s">
        <v>35</v>
      </c>
      <c r="E363" t="s">
        <v>15</v>
      </c>
      <c r="F363" t="s">
        <v>48</v>
      </c>
      <c r="G363" t="s">
        <v>54</v>
      </c>
      <c r="H363" t="s">
        <v>33</v>
      </c>
      <c r="I363">
        <v>2</v>
      </c>
      <c r="J363">
        <v>1800</v>
      </c>
      <c r="K363">
        <v>0.1</v>
      </c>
      <c r="L363">
        <v>3240</v>
      </c>
    </row>
    <row r="364" spans="1:12">
      <c r="A364" t="s">
        <v>432</v>
      </c>
      <c r="B364" s="1">
        <v>46099</v>
      </c>
      <c r="C364" t="s">
        <v>31</v>
      </c>
      <c r="D364" t="s">
        <v>41</v>
      </c>
      <c r="E364" t="s">
        <v>15</v>
      </c>
      <c r="F364" t="s">
        <v>73</v>
      </c>
      <c r="G364" t="s">
        <v>74</v>
      </c>
      <c r="H364" t="s">
        <v>79</v>
      </c>
      <c r="I364">
        <v>4</v>
      </c>
      <c r="J364">
        <v>8</v>
      </c>
      <c r="K364">
        <v>0.08</v>
      </c>
      <c r="L364">
        <v>29.44</v>
      </c>
    </row>
    <row r="365" spans="1:12">
      <c r="A365" t="s">
        <v>914</v>
      </c>
      <c r="B365" s="1">
        <v>46332</v>
      </c>
      <c r="C365" t="s">
        <v>31</v>
      </c>
      <c r="D365" t="s">
        <v>41</v>
      </c>
      <c r="E365" t="s">
        <v>22</v>
      </c>
      <c r="F365" t="s">
        <v>27</v>
      </c>
      <c r="G365" t="s">
        <v>155</v>
      </c>
      <c r="H365" t="s">
        <v>79</v>
      </c>
      <c r="I365">
        <v>2</v>
      </c>
      <c r="J365">
        <v>190.8</v>
      </c>
      <c r="K365">
        <v>0.08</v>
      </c>
      <c r="L365">
        <v>351.07200000000006</v>
      </c>
    </row>
    <row r="366" spans="1:12">
      <c r="A366" t="s">
        <v>434</v>
      </c>
      <c r="B366" s="1">
        <v>46358</v>
      </c>
      <c r="C366" t="s">
        <v>31</v>
      </c>
      <c r="D366" t="s">
        <v>14</v>
      </c>
      <c r="E366" t="s">
        <v>22</v>
      </c>
      <c r="F366" t="s">
        <v>23</v>
      </c>
      <c r="G366" t="s">
        <v>24</v>
      </c>
      <c r="H366" t="s">
        <v>39</v>
      </c>
      <c r="I366">
        <v>6</v>
      </c>
      <c r="J366">
        <v>90</v>
      </c>
      <c r="K366">
        <v>0.1</v>
      </c>
      <c r="L366">
        <v>486</v>
      </c>
    </row>
    <row r="367" spans="1:12">
      <c r="A367" t="s">
        <v>912</v>
      </c>
      <c r="B367" s="1">
        <v>46349</v>
      </c>
      <c r="C367" t="s">
        <v>31</v>
      </c>
      <c r="D367" t="s">
        <v>14</v>
      </c>
      <c r="E367" t="s">
        <v>15</v>
      </c>
      <c r="F367" t="s">
        <v>73</v>
      </c>
      <c r="G367" t="s">
        <v>127</v>
      </c>
      <c r="H367" t="s">
        <v>79</v>
      </c>
      <c r="I367">
        <v>4</v>
      </c>
      <c r="J367">
        <v>26</v>
      </c>
      <c r="K367">
        <v>0.15</v>
      </c>
      <c r="L367">
        <v>88.399999999999991</v>
      </c>
    </row>
    <row r="368" spans="1:12">
      <c r="A368" t="s">
        <v>910</v>
      </c>
      <c r="B368" s="1">
        <v>46140</v>
      </c>
      <c r="C368" t="s">
        <v>31</v>
      </c>
      <c r="D368" t="s">
        <v>14</v>
      </c>
      <c r="E368" t="s">
        <v>22</v>
      </c>
      <c r="F368" t="s">
        <v>73</v>
      </c>
      <c r="G368" t="s">
        <v>127</v>
      </c>
      <c r="H368" t="s">
        <v>79</v>
      </c>
      <c r="I368">
        <v>4</v>
      </c>
      <c r="J368">
        <v>24.25</v>
      </c>
      <c r="K368">
        <v>0.15</v>
      </c>
      <c r="L368">
        <v>82.45</v>
      </c>
    </row>
    <row r="369" spans="1:12">
      <c r="A369" t="s">
        <v>437</v>
      </c>
      <c r="B369" s="1">
        <v>46203</v>
      </c>
      <c r="C369" t="s">
        <v>31</v>
      </c>
      <c r="D369" t="s">
        <v>14</v>
      </c>
      <c r="E369" t="s">
        <v>15</v>
      </c>
      <c r="F369" t="s">
        <v>16</v>
      </c>
      <c r="G369" t="s">
        <v>17</v>
      </c>
      <c r="H369" t="s">
        <v>33</v>
      </c>
      <c r="I369">
        <v>3</v>
      </c>
      <c r="J369">
        <v>15</v>
      </c>
      <c r="K369">
        <v>0.1</v>
      </c>
      <c r="L369">
        <v>40.5</v>
      </c>
    </row>
    <row r="370" spans="1:12">
      <c r="A370" t="s">
        <v>909</v>
      </c>
      <c r="B370" s="1">
        <v>46188</v>
      </c>
      <c r="C370" t="s">
        <v>31</v>
      </c>
      <c r="D370" t="s">
        <v>41</v>
      </c>
      <c r="E370" t="s">
        <v>22</v>
      </c>
      <c r="F370" t="s">
        <v>60</v>
      </c>
      <c r="G370" t="s">
        <v>67</v>
      </c>
      <c r="H370" t="s">
        <v>79</v>
      </c>
      <c r="I370">
        <v>2</v>
      </c>
      <c r="J370">
        <v>1560</v>
      </c>
      <c r="K370">
        <v>0.1</v>
      </c>
      <c r="L370">
        <v>2808</v>
      </c>
    </row>
    <row r="371" spans="1:12">
      <c r="A371" t="s">
        <v>439</v>
      </c>
      <c r="B371" s="1">
        <v>46171</v>
      </c>
      <c r="C371" t="s">
        <v>31</v>
      </c>
      <c r="D371" t="s">
        <v>14</v>
      </c>
      <c r="E371" t="s">
        <v>22</v>
      </c>
      <c r="F371" t="s">
        <v>16</v>
      </c>
      <c r="G371" t="s">
        <v>65</v>
      </c>
      <c r="H371" t="s">
        <v>39</v>
      </c>
      <c r="I371">
        <v>8</v>
      </c>
      <c r="J371">
        <v>84.8</v>
      </c>
      <c r="K371">
        <v>0.1</v>
      </c>
      <c r="L371">
        <v>610.55999999999995</v>
      </c>
    </row>
    <row r="372" spans="1:12">
      <c r="A372" t="s">
        <v>904</v>
      </c>
      <c r="B372" s="1">
        <v>46279</v>
      </c>
      <c r="C372" t="s">
        <v>31</v>
      </c>
      <c r="D372" t="s">
        <v>35</v>
      </c>
      <c r="E372" t="s">
        <v>22</v>
      </c>
      <c r="F372" t="s">
        <v>48</v>
      </c>
      <c r="G372" t="s">
        <v>54</v>
      </c>
      <c r="H372" t="s">
        <v>79</v>
      </c>
      <c r="I372">
        <v>2</v>
      </c>
      <c r="J372">
        <v>1800</v>
      </c>
      <c r="K372">
        <v>0.03</v>
      </c>
      <c r="L372">
        <v>3492</v>
      </c>
    </row>
    <row r="373" spans="1:12">
      <c r="A373" t="s">
        <v>902</v>
      </c>
      <c r="B373" s="1">
        <v>46088</v>
      </c>
      <c r="C373" t="s">
        <v>31</v>
      </c>
      <c r="D373" t="s">
        <v>35</v>
      </c>
      <c r="E373" t="s">
        <v>22</v>
      </c>
      <c r="F373" t="s">
        <v>23</v>
      </c>
      <c r="G373" t="s">
        <v>38</v>
      </c>
      <c r="H373" t="s">
        <v>39</v>
      </c>
      <c r="I373">
        <v>7</v>
      </c>
      <c r="J373">
        <v>326.39999999999998</v>
      </c>
      <c r="K373">
        <v>0.1</v>
      </c>
      <c r="L373">
        <v>2056.3199999999997</v>
      </c>
    </row>
    <row r="374" spans="1:12">
      <c r="A374" t="s">
        <v>900</v>
      </c>
      <c r="B374" s="1">
        <v>46119</v>
      </c>
      <c r="C374" t="s">
        <v>31</v>
      </c>
      <c r="D374" t="s">
        <v>41</v>
      </c>
      <c r="E374" t="s">
        <v>15</v>
      </c>
      <c r="F374" t="s">
        <v>16</v>
      </c>
      <c r="G374" t="s">
        <v>65</v>
      </c>
      <c r="H374" t="s">
        <v>39</v>
      </c>
      <c r="I374">
        <v>3</v>
      </c>
      <c r="J374">
        <v>80</v>
      </c>
      <c r="K374">
        <v>0.05</v>
      </c>
      <c r="L374">
        <v>228</v>
      </c>
    </row>
    <row r="375" spans="1:12">
      <c r="A375" t="s">
        <v>899</v>
      </c>
      <c r="B375" s="1">
        <v>46280</v>
      </c>
      <c r="C375" t="s">
        <v>31</v>
      </c>
      <c r="D375" t="s">
        <v>21</v>
      </c>
      <c r="E375" t="s">
        <v>15</v>
      </c>
      <c r="F375" t="s">
        <v>73</v>
      </c>
      <c r="G375" t="s">
        <v>129</v>
      </c>
      <c r="H375" t="s">
        <v>79</v>
      </c>
      <c r="I375">
        <v>4</v>
      </c>
      <c r="J375">
        <v>35</v>
      </c>
      <c r="K375">
        <v>0.08</v>
      </c>
      <c r="L375">
        <v>128.80000000000001</v>
      </c>
    </row>
    <row r="376" spans="1:12">
      <c r="A376" t="s">
        <v>444</v>
      </c>
      <c r="B376" s="1">
        <v>46267</v>
      </c>
      <c r="C376" t="s">
        <v>31</v>
      </c>
      <c r="D376" t="s">
        <v>14</v>
      </c>
      <c r="E376" t="s">
        <v>22</v>
      </c>
      <c r="F376" t="s">
        <v>60</v>
      </c>
      <c r="G376" t="s">
        <v>61</v>
      </c>
      <c r="H376" t="s">
        <v>33</v>
      </c>
      <c r="I376">
        <v>1</v>
      </c>
      <c r="J376">
        <v>850</v>
      </c>
      <c r="K376">
        <v>0.05</v>
      </c>
      <c r="L376">
        <v>807.5</v>
      </c>
    </row>
    <row r="377" spans="1:12">
      <c r="A377" t="s">
        <v>891</v>
      </c>
      <c r="B377" s="1">
        <v>46303</v>
      </c>
      <c r="C377" t="s">
        <v>31</v>
      </c>
      <c r="D377" t="s">
        <v>14</v>
      </c>
      <c r="E377" t="s">
        <v>22</v>
      </c>
      <c r="F377" t="s">
        <v>23</v>
      </c>
      <c r="G377" t="s">
        <v>38</v>
      </c>
      <c r="H377" t="s">
        <v>39</v>
      </c>
      <c r="I377">
        <v>4</v>
      </c>
      <c r="J377">
        <v>332.8</v>
      </c>
      <c r="K377">
        <v>0.2</v>
      </c>
      <c r="L377">
        <v>1064.96</v>
      </c>
    </row>
    <row r="378" spans="1:12">
      <c r="A378" t="s">
        <v>890</v>
      </c>
      <c r="B378" s="1">
        <v>46356</v>
      </c>
      <c r="C378" t="s">
        <v>31</v>
      </c>
      <c r="D378" t="s">
        <v>14</v>
      </c>
      <c r="E378" t="s">
        <v>22</v>
      </c>
      <c r="F378" t="s">
        <v>27</v>
      </c>
      <c r="G378" t="s">
        <v>32</v>
      </c>
      <c r="H378" t="s">
        <v>39</v>
      </c>
      <c r="I378">
        <v>3</v>
      </c>
      <c r="J378">
        <v>285.60000000000002</v>
      </c>
      <c r="K378">
        <v>0.2</v>
      </c>
      <c r="L378">
        <v>685.44</v>
      </c>
    </row>
    <row r="379" spans="1:12">
      <c r="A379" t="s">
        <v>887</v>
      </c>
      <c r="B379" s="1">
        <v>46308</v>
      </c>
      <c r="C379" t="s">
        <v>31</v>
      </c>
      <c r="D379" t="s">
        <v>35</v>
      </c>
      <c r="E379" t="s">
        <v>15</v>
      </c>
      <c r="F379" t="s">
        <v>27</v>
      </c>
      <c r="G379" t="s">
        <v>155</v>
      </c>
      <c r="H379" t="s">
        <v>39</v>
      </c>
      <c r="I379">
        <v>3</v>
      </c>
      <c r="J379">
        <v>174.6</v>
      </c>
      <c r="K379">
        <v>0.1</v>
      </c>
      <c r="L379">
        <v>471.41999999999996</v>
      </c>
    </row>
    <row r="380" spans="1:12">
      <c r="A380" t="s">
        <v>870</v>
      </c>
      <c r="B380" s="1">
        <v>46236</v>
      </c>
      <c r="C380" t="s">
        <v>31</v>
      </c>
      <c r="D380" t="s">
        <v>21</v>
      </c>
      <c r="E380" t="s">
        <v>15</v>
      </c>
      <c r="F380" t="s">
        <v>23</v>
      </c>
      <c r="G380" t="s">
        <v>138</v>
      </c>
      <c r="H380" t="s">
        <v>33</v>
      </c>
      <c r="I380">
        <v>2</v>
      </c>
      <c r="J380">
        <v>63.6</v>
      </c>
      <c r="K380">
        <v>0.03</v>
      </c>
      <c r="L380">
        <v>123.384</v>
      </c>
    </row>
    <row r="381" spans="1:12">
      <c r="A381" t="s">
        <v>869</v>
      </c>
      <c r="B381" s="1">
        <v>46123</v>
      </c>
      <c r="C381" t="s">
        <v>31</v>
      </c>
      <c r="D381" t="s">
        <v>14</v>
      </c>
      <c r="E381" t="s">
        <v>22</v>
      </c>
      <c r="F381" t="s">
        <v>23</v>
      </c>
      <c r="G381" t="s">
        <v>52</v>
      </c>
      <c r="H381" t="s">
        <v>39</v>
      </c>
      <c r="I381">
        <v>2</v>
      </c>
      <c r="J381">
        <v>427.5</v>
      </c>
      <c r="K381">
        <v>0.2</v>
      </c>
      <c r="L381">
        <v>684</v>
      </c>
    </row>
    <row r="382" spans="1:12">
      <c r="A382" t="s">
        <v>867</v>
      </c>
      <c r="B382" s="1">
        <v>46069</v>
      </c>
      <c r="C382" t="s">
        <v>31</v>
      </c>
      <c r="D382" t="s">
        <v>41</v>
      </c>
      <c r="E382" t="s">
        <v>22</v>
      </c>
      <c r="F382" t="s">
        <v>73</v>
      </c>
      <c r="G382" t="s">
        <v>81</v>
      </c>
      <c r="H382" t="s">
        <v>79</v>
      </c>
      <c r="I382">
        <v>1</v>
      </c>
      <c r="J382">
        <v>12</v>
      </c>
      <c r="K382">
        <v>0.03</v>
      </c>
      <c r="L382">
        <v>11.64</v>
      </c>
    </row>
    <row r="383" spans="1:12">
      <c r="A383" t="s">
        <v>451</v>
      </c>
      <c r="B383" s="1">
        <v>46026</v>
      </c>
      <c r="C383" t="s">
        <v>31</v>
      </c>
      <c r="D383" t="s">
        <v>21</v>
      </c>
      <c r="E383" t="s">
        <v>22</v>
      </c>
      <c r="F383" t="s">
        <v>48</v>
      </c>
      <c r="G383" t="s">
        <v>96</v>
      </c>
      <c r="H383" t="s">
        <v>79</v>
      </c>
      <c r="I383">
        <v>1</v>
      </c>
      <c r="J383">
        <v>2425</v>
      </c>
      <c r="K383">
        <v>0</v>
      </c>
      <c r="L383">
        <v>2425</v>
      </c>
    </row>
    <row r="384" spans="1:12">
      <c r="A384" t="s">
        <v>866</v>
      </c>
      <c r="B384" s="1">
        <v>46327</v>
      </c>
      <c r="C384" t="s">
        <v>31</v>
      </c>
      <c r="D384" t="s">
        <v>35</v>
      </c>
      <c r="E384" t="s">
        <v>22</v>
      </c>
      <c r="F384" t="s">
        <v>60</v>
      </c>
      <c r="G384" t="s">
        <v>67</v>
      </c>
      <c r="H384" t="s">
        <v>39</v>
      </c>
      <c r="I384">
        <v>1</v>
      </c>
      <c r="J384">
        <v>1560</v>
      </c>
      <c r="K384">
        <v>0.08</v>
      </c>
      <c r="L384">
        <v>1435.2</v>
      </c>
    </row>
    <row r="385" spans="1:12">
      <c r="A385" t="s">
        <v>863</v>
      </c>
      <c r="B385" s="1">
        <v>46327</v>
      </c>
      <c r="C385" t="s">
        <v>31</v>
      </c>
      <c r="D385" t="s">
        <v>14</v>
      </c>
      <c r="E385" t="s">
        <v>22</v>
      </c>
      <c r="F385" t="s">
        <v>48</v>
      </c>
      <c r="G385" t="s">
        <v>99</v>
      </c>
      <c r="H385" t="s">
        <v>33</v>
      </c>
      <c r="I385">
        <v>1</v>
      </c>
      <c r="J385">
        <v>2910</v>
      </c>
      <c r="K385">
        <v>0.05</v>
      </c>
      <c r="L385">
        <v>2764.5</v>
      </c>
    </row>
    <row r="386" spans="1:12">
      <c r="A386" t="s">
        <v>862</v>
      </c>
      <c r="B386" s="1">
        <v>46287</v>
      </c>
      <c r="C386" t="s">
        <v>31</v>
      </c>
      <c r="D386" t="s">
        <v>35</v>
      </c>
      <c r="E386" t="s">
        <v>15</v>
      </c>
      <c r="F386" t="s">
        <v>60</v>
      </c>
      <c r="G386" t="s">
        <v>61</v>
      </c>
      <c r="H386" t="s">
        <v>39</v>
      </c>
      <c r="I386">
        <v>1</v>
      </c>
      <c r="J386">
        <v>850</v>
      </c>
      <c r="K386">
        <v>0.08</v>
      </c>
      <c r="L386">
        <v>782</v>
      </c>
    </row>
    <row r="387" spans="1:12">
      <c r="A387" t="s">
        <v>854</v>
      </c>
      <c r="B387" s="1">
        <v>46029</v>
      </c>
      <c r="C387" t="s">
        <v>31</v>
      </c>
      <c r="D387" t="s">
        <v>41</v>
      </c>
      <c r="E387" t="s">
        <v>22</v>
      </c>
      <c r="F387" t="s">
        <v>16</v>
      </c>
      <c r="G387" t="s">
        <v>112</v>
      </c>
      <c r="H387" t="s">
        <v>39</v>
      </c>
      <c r="I387">
        <v>1</v>
      </c>
      <c r="J387">
        <v>65</v>
      </c>
      <c r="K387">
        <v>0</v>
      </c>
      <c r="L387">
        <v>65</v>
      </c>
    </row>
    <row r="388" spans="1:12">
      <c r="A388" t="s">
        <v>851</v>
      </c>
      <c r="B388" s="1">
        <v>46210</v>
      </c>
      <c r="C388" t="s">
        <v>31</v>
      </c>
      <c r="D388" t="s">
        <v>14</v>
      </c>
      <c r="E388" t="s">
        <v>15</v>
      </c>
      <c r="F388" t="s">
        <v>27</v>
      </c>
      <c r="G388" t="s">
        <v>155</v>
      </c>
      <c r="H388" t="s">
        <v>79</v>
      </c>
      <c r="I388">
        <v>1</v>
      </c>
      <c r="J388">
        <v>183.6</v>
      </c>
      <c r="K388">
        <v>0.03</v>
      </c>
      <c r="L388">
        <v>178.09199999999998</v>
      </c>
    </row>
    <row r="389" spans="1:12">
      <c r="A389" t="s">
        <v>457</v>
      </c>
      <c r="B389" s="1">
        <v>46305</v>
      </c>
      <c r="C389" t="s">
        <v>31</v>
      </c>
      <c r="D389" t="s">
        <v>21</v>
      </c>
      <c r="E389" t="s">
        <v>15</v>
      </c>
      <c r="F389" t="s">
        <v>48</v>
      </c>
      <c r="G389" t="s">
        <v>71</v>
      </c>
      <c r="H389" t="s">
        <v>39</v>
      </c>
      <c r="I389">
        <v>2</v>
      </c>
      <c r="J389">
        <v>3200</v>
      </c>
      <c r="K389">
        <v>0.1</v>
      </c>
      <c r="L389">
        <v>5760</v>
      </c>
    </row>
    <row r="390" spans="1:12">
      <c r="A390" t="s">
        <v>850</v>
      </c>
      <c r="B390" s="1">
        <v>46235</v>
      </c>
      <c r="C390" t="s">
        <v>31</v>
      </c>
      <c r="D390" t="s">
        <v>21</v>
      </c>
      <c r="E390" t="s">
        <v>22</v>
      </c>
      <c r="F390" t="s">
        <v>48</v>
      </c>
      <c r="G390" t="s">
        <v>49</v>
      </c>
      <c r="H390" t="s">
        <v>33</v>
      </c>
      <c r="I390">
        <v>1</v>
      </c>
      <c r="J390">
        <v>4200</v>
      </c>
      <c r="K390">
        <v>0</v>
      </c>
      <c r="L390">
        <v>4200</v>
      </c>
    </row>
    <row r="391" spans="1:12">
      <c r="A391" t="s">
        <v>846</v>
      </c>
      <c r="B391" s="1">
        <v>46060</v>
      </c>
      <c r="C391" t="s">
        <v>31</v>
      </c>
      <c r="D391" t="s">
        <v>14</v>
      </c>
      <c r="E391" t="s">
        <v>15</v>
      </c>
      <c r="F391" t="s">
        <v>23</v>
      </c>
      <c r="G391" t="s">
        <v>52</v>
      </c>
      <c r="H391" t="s">
        <v>39</v>
      </c>
      <c r="I391">
        <v>1</v>
      </c>
      <c r="J391">
        <v>468</v>
      </c>
      <c r="K391">
        <v>0</v>
      </c>
      <c r="L391">
        <v>468</v>
      </c>
    </row>
    <row r="392" spans="1:12">
      <c r="A392" t="s">
        <v>845</v>
      </c>
      <c r="B392" s="1">
        <v>46087</v>
      </c>
      <c r="C392" t="s">
        <v>31</v>
      </c>
      <c r="D392" t="s">
        <v>21</v>
      </c>
      <c r="E392" t="s">
        <v>22</v>
      </c>
      <c r="F392" t="s">
        <v>48</v>
      </c>
      <c r="G392" t="s">
        <v>96</v>
      </c>
      <c r="H392" t="s">
        <v>33</v>
      </c>
      <c r="I392">
        <v>3</v>
      </c>
      <c r="J392">
        <v>2500</v>
      </c>
      <c r="K392">
        <v>0.05</v>
      </c>
      <c r="L392">
        <v>7125</v>
      </c>
    </row>
    <row r="393" spans="1:12">
      <c r="A393" t="s">
        <v>461</v>
      </c>
      <c r="B393" s="1">
        <v>46292</v>
      </c>
      <c r="C393" t="s">
        <v>31</v>
      </c>
      <c r="D393" t="s">
        <v>14</v>
      </c>
      <c r="E393" t="s">
        <v>22</v>
      </c>
      <c r="F393" t="s">
        <v>16</v>
      </c>
      <c r="G393" t="s">
        <v>69</v>
      </c>
      <c r="H393" t="s">
        <v>33</v>
      </c>
      <c r="I393">
        <v>5</v>
      </c>
      <c r="J393">
        <v>56.1</v>
      </c>
      <c r="K393">
        <v>0.05</v>
      </c>
      <c r="L393">
        <v>266.47499999999997</v>
      </c>
    </row>
    <row r="394" spans="1:12">
      <c r="A394" t="s">
        <v>844</v>
      </c>
      <c r="B394" s="1">
        <v>46150</v>
      </c>
      <c r="C394" t="s">
        <v>31</v>
      </c>
      <c r="D394" t="s">
        <v>14</v>
      </c>
      <c r="E394" t="s">
        <v>15</v>
      </c>
      <c r="F394" t="s">
        <v>16</v>
      </c>
      <c r="G394" t="s">
        <v>112</v>
      </c>
      <c r="H394" t="s">
        <v>39</v>
      </c>
      <c r="I394">
        <v>1</v>
      </c>
      <c r="J394">
        <v>63.05</v>
      </c>
      <c r="K394">
        <v>0.1</v>
      </c>
      <c r="L394">
        <v>56.744999999999997</v>
      </c>
    </row>
    <row r="395" spans="1:12">
      <c r="A395" t="s">
        <v>463</v>
      </c>
      <c r="B395" s="1">
        <v>46261</v>
      </c>
      <c r="C395" t="s">
        <v>31</v>
      </c>
      <c r="D395" t="s">
        <v>14</v>
      </c>
      <c r="E395" t="s">
        <v>22</v>
      </c>
      <c r="F395" t="s">
        <v>23</v>
      </c>
      <c r="G395" t="s">
        <v>24</v>
      </c>
      <c r="H395" t="s">
        <v>39</v>
      </c>
      <c r="I395">
        <v>2</v>
      </c>
      <c r="J395">
        <v>95.4</v>
      </c>
      <c r="K395">
        <v>0.08</v>
      </c>
      <c r="L395">
        <v>175.53600000000003</v>
      </c>
    </row>
    <row r="396" spans="1:12">
      <c r="A396" t="s">
        <v>842</v>
      </c>
      <c r="B396" s="1">
        <v>46093</v>
      </c>
      <c r="C396" t="s">
        <v>31</v>
      </c>
      <c r="D396" t="s">
        <v>35</v>
      </c>
      <c r="E396" t="s">
        <v>22</v>
      </c>
      <c r="F396" t="s">
        <v>60</v>
      </c>
      <c r="G396" t="s">
        <v>76</v>
      </c>
      <c r="H396" t="s">
        <v>39</v>
      </c>
      <c r="I396">
        <v>3</v>
      </c>
      <c r="J396">
        <v>665</v>
      </c>
      <c r="K396">
        <v>0.15</v>
      </c>
      <c r="L396">
        <v>1695.75</v>
      </c>
    </row>
    <row r="397" spans="1:12">
      <c r="A397" t="s">
        <v>829</v>
      </c>
      <c r="B397" s="1">
        <v>46035</v>
      </c>
      <c r="C397" t="s">
        <v>31</v>
      </c>
      <c r="D397" t="s">
        <v>14</v>
      </c>
      <c r="E397" t="s">
        <v>22</v>
      </c>
      <c r="F397" t="s">
        <v>60</v>
      </c>
      <c r="G397" t="s">
        <v>67</v>
      </c>
      <c r="H397" t="s">
        <v>79</v>
      </c>
      <c r="I397">
        <v>1</v>
      </c>
      <c r="J397">
        <v>1455</v>
      </c>
      <c r="K397">
        <v>0.08</v>
      </c>
      <c r="L397">
        <v>1338.6000000000001</v>
      </c>
    </row>
    <row r="398" spans="1:12">
      <c r="A398" t="s">
        <v>466</v>
      </c>
      <c r="B398" s="1">
        <v>46332</v>
      </c>
      <c r="C398" t="s">
        <v>31</v>
      </c>
      <c r="D398" t="s">
        <v>21</v>
      </c>
      <c r="E398" t="s">
        <v>15</v>
      </c>
      <c r="F398" t="s">
        <v>60</v>
      </c>
      <c r="G398" t="s">
        <v>61</v>
      </c>
      <c r="H398" t="s">
        <v>33</v>
      </c>
      <c r="I398">
        <v>1</v>
      </c>
      <c r="J398">
        <v>850</v>
      </c>
      <c r="K398">
        <v>0.1</v>
      </c>
      <c r="L398">
        <v>765</v>
      </c>
    </row>
    <row r="399" spans="1:12">
      <c r="A399" t="s">
        <v>467</v>
      </c>
      <c r="B399" s="1">
        <v>46237</v>
      </c>
      <c r="C399" t="s">
        <v>31</v>
      </c>
      <c r="D399" t="s">
        <v>21</v>
      </c>
      <c r="E399" t="s">
        <v>15</v>
      </c>
      <c r="F399" t="s">
        <v>16</v>
      </c>
      <c r="G399" t="s">
        <v>65</v>
      </c>
      <c r="H399" t="s">
        <v>79</v>
      </c>
      <c r="I399">
        <v>5</v>
      </c>
      <c r="J399">
        <v>83.2</v>
      </c>
      <c r="K399">
        <v>0.05</v>
      </c>
      <c r="L399">
        <v>395.2</v>
      </c>
    </row>
    <row r="400" spans="1:12">
      <c r="A400" t="s">
        <v>825</v>
      </c>
      <c r="B400" s="1">
        <v>46311</v>
      </c>
      <c r="C400" t="s">
        <v>31</v>
      </c>
      <c r="D400" t="s">
        <v>21</v>
      </c>
      <c r="E400" t="s">
        <v>22</v>
      </c>
      <c r="F400" t="s">
        <v>60</v>
      </c>
      <c r="G400" t="s">
        <v>76</v>
      </c>
      <c r="H400" t="s">
        <v>79</v>
      </c>
      <c r="I400">
        <v>3</v>
      </c>
      <c r="J400">
        <v>714</v>
      </c>
      <c r="K400">
        <v>0.03</v>
      </c>
      <c r="L400">
        <v>2077.7399999999998</v>
      </c>
    </row>
    <row r="401" spans="1:12">
      <c r="A401" t="s">
        <v>821</v>
      </c>
      <c r="B401" s="1">
        <v>46113</v>
      </c>
      <c r="C401" t="s">
        <v>31</v>
      </c>
      <c r="D401" t="s">
        <v>14</v>
      </c>
      <c r="E401" t="s">
        <v>22</v>
      </c>
      <c r="F401" t="s">
        <v>48</v>
      </c>
      <c r="G401" t="s">
        <v>71</v>
      </c>
      <c r="H401" t="s">
        <v>39</v>
      </c>
      <c r="I401">
        <v>2</v>
      </c>
      <c r="J401">
        <v>3200</v>
      </c>
      <c r="K401">
        <v>0.05</v>
      </c>
      <c r="L401">
        <v>6080</v>
      </c>
    </row>
    <row r="402" spans="1:12">
      <c r="A402" t="s">
        <v>813</v>
      </c>
      <c r="B402" s="1">
        <v>46294</v>
      </c>
      <c r="C402" t="s">
        <v>31</v>
      </c>
      <c r="D402" t="s">
        <v>41</v>
      </c>
      <c r="E402" t="s">
        <v>15</v>
      </c>
      <c r="F402" t="s">
        <v>16</v>
      </c>
      <c r="G402" t="s">
        <v>57</v>
      </c>
      <c r="H402" t="s">
        <v>39</v>
      </c>
      <c r="I402">
        <v>7</v>
      </c>
      <c r="J402">
        <v>38</v>
      </c>
      <c r="K402">
        <v>0.2</v>
      </c>
      <c r="L402">
        <v>212.8</v>
      </c>
    </row>
    <row r="403" spans="1:12">
      <c r="A403" t="s">
        <v>808</v>
      </c>
      <c r="B403" s="1">
        <v>46306</v>
      </c>
      <c r="C403" t="s">
        <v>31</v>
      </c>
      <c r="D403" t="s">
        <v>21</v>
      </c>
      <c r="E403" t="s">
        <v>22</v>
      </c>
      <c r="F403" t="s">
        <v>60</v>
      </c>
      <c r="G403" t="s">
        <v>67</v>
      </c>
      <c r="H403" t="s">
        <v>79</v>
      </c>
      <c r="I403">
        <v>2</v>
      </c>
      <c r="J403">
        <v>1530</v>
      </c>
      <c r="K403">
        <v>0.05</v>
      </c>
      <c r="L403">
        <v>2907</v>
      </c>
    </row>
    <row r="404" spans="1:12">
      <c r="A404" t="s">
        <v>807</v>
      </c>
      <c r="B404" s="1">
        <v>46267</v>
      </c>
      <c r="C404" t="s">
        <v>31</v>
      </c>
      <c r="D404" t="s">
        <v>41</v>
      </c>
      <c r="E404" t="s">
        <v>22</v>
      </c>
      <c r="F404" t="s">
        <v>16</v>
      </c>
      <c r="G404" t="s">
        <v>57</v>
      </c>
      <c r="H404" t="s">
        <v>79</v>
      </c>
      <c r="I404">
        <v>7</v>
      </c>
      <c r="J404">
        <v>38</v>
      </c>
      <c r="K404">
        <v>0.1</v>
      </c>
      <c r="L404">
        <v>239.4</v>
      </c>
    </row>
    <row r="405" spans="1:12">
      <c r="A405" t="s">
        <v>802</v>
      </c>
      <c r="B405" s="1">
        <v>46248</v>
      </c>
      <c r="C405" t="s">
        <v>31</v>
      </c>
      <c r="D405" t="s">
        <v>35</v>
      </c>
      <c r="E405" t="s">
        <v>22</v>
      </c>
      <c r="F405" t="s">
        <v>48</v>
      </c>
      <c r="G405" t="s">
        <v>49</v>
      </c>
      <c r="H405" t="s">
        <v>79</v>
      </c>
      <c r="I405">
        <v>1</v>
      </c>
      <c r="J405">
        <v>4368</v>
      </c>
      <c r="K405">
        <v>0.1</v>
      </c>
      <c r="L405">
        <v>3931.2000000000003</v>
      </c>
    </row>
    <row r="406" spans="1:12">
      <c r="A406" t="s">
        <v>797</v>
      </c>
      <c r="B406" s="1">
        <v>46334</v>
      </c>
      <c r="C406" t="s">
        <v>31</v>
      </c>
      <c r="D406" t="s">
        <v>41</v>
      </c>
      <c r="E406" t="s">
        <v>22</v>
      </c>
      <c r="F406" t="s">
        <v>16</v>
      </c>
      <c r="G406" t="s">
        <v>69</v>
      </c>
      <c r="H406" t="s">
        <v>79</v>
      </c>
      <c r="I406">
        <v>2</v>
      </c>
      <c r="J406">
        <v>55</v>
      </c>
      <c r="K406">
        <v>0.15</v>
      </c>
      <c r="L406">
        <v>93.5</v>
      </c>
    </row>
    <row r="407" spans="1:12">
      <c r="A407" t="s">
        <v>790</v>
      </c>
      <c r="B407" s="1">
        <v>46283</v>
      </c>
      <c r="C407" t="s">
        <v>31</v>
      </c>
      <c r="D407" t="s">
        <v>41</v>
      </c>
      <c r="E407" t="s">
        <v>22</v>
      </c>
      <c r="F407" t="s">
        <v>23</v>
      </c>
      <c r="G407" t="s">
        <v>138</v>
      </c>
      <c r="H407" t="s">
        <v>79</v>
      </c>
      <c r="I407">
        <v>5</v>
      </c>
      <c r="J407">
        <v>62.4</v>
      </c>
      <c r="K407">
        <v>0.05</v>
      </c>
      <c r="L407">
        <v>296.39999999999998</v>
      </c>
    </row>
    <row r="408" spans="1:12">
      <c r="A408" t="s">
        <v>784</v>
      </c>
      <c r="B408" s="1">
        <v>46343</v>
      </c>
      <c r="C408" t="s">
        <v>31</v>
      </c>
      <c r="D408" t="s">
        <v>41</v>
      </c>
      <c r="E408" t="s">
        <v>22</v>
      </c>
      <c r="F408" t="s">
        <v>27</v>
      </c>
      <c r="G408" t="s">
        <v>36</v>
      </c>
      <c r="H408" t="s">
        <v>79</v>
      </c>
      <c r="I408">
        <v>7</v>
      </c>
      <c r="J408">
        <v>780</v>
      </c>
      <c r="K408">
        <v>0.08</v>
      </c>
      <c r="L408">
        <v>5023.2</v>
      </c>
    </row>
    <row r="409" spans="1:12">
      <c r="A409" t="s">
        <v>477</v>
      </c>
      <c r="B409" s="1">
        <v>46280</v>
      </c>
      <c r="C409" t="s">
        <v>31</v>
      </c>
      <c r="D409" t="s">
        <v>41</v>
      </c>
      <c r="E409" t="s">
        <v>22</v>
      </c>
      <c r="F409" t="s">
        <v>60</v>
      </c>
      <c r="G409" t="s">
        <v>61</v>
      </c>
      <c r="H409" t="s">
        <v>39</v>
      </c>
      <c r="I409">
        <v>3</v>
      </c>
      <c r="J409">
        <v>807.5</v>
      </c>
      <c r="K409">
        <v>0.08</v>
      </c>
      <c r="L409">
        <v>2228.7000000000003</v>
      </c>
    </row>
    <row r="410" spans="1:12">
      <c r="A410" t="s">
        <v>783</v>
      </c>
      <c r="B410" s="1">
        <v>46141</v>
      </c>
      <c r="C410" t="s">
        <v>31</v>
      </c>
      <c r="D410" t="s">
        <v>21</v>
      </c>
      <c r="E410" t="s">
        <v>22</v>
      </c>
      <c r="F410" t="s">
        <v>16</v>
      </c>
      <c r="G410" t="s">
        <v>65</v>
      </c>
      <c r="H410" t="s">
        <v>79</v>
      </c>
      <c r="I410">
        <v>2</v>
      </c>
      <c r="J410">
        <v>80</v>
      </c>
      <c r="K410">
        <v>0.05</v>
      </c>
      <c r="L410">
        <v>152</v>
      </c>
    </row>
    <row r="411" spans="1:12">
      <c r="A411" t="s">
        <v>780</v>
      </c>
      <c r="B411" s="1">
        <v>46115</v>
      </c>
      <c r="C411" t="s">
        <v>31</v>
      </c>
      <c r="D411" t="s">
        <v>41</v>
      </c>
      <c r="E411" t="s">
        <v>22</v>
      </c>
      <c r="F411" t="s">
        <v>16</v>
      </c>
      <c r="G411" t="s">
        <v>57</v>
      </c>
      <c r="H411" t="s">
        <v>33</v>
      </c>
      <c r="I411">
        <v>1</v>
      </c>
      <c r="J411">
        <v>38</v>
      </c>
      <c r="K411">
        <v>0</v>
      </c>
      <c r="L411">
        <v>38</v>
      </c>
    </row>
    <row r="412" spans="1:12">
      <c r="A412" t="s">
        <v>777</v>
      </c>
      <c r="B412" s="1">
        <v>46228</v>
      </c>
      <c r="C412" t="s">
        <v>31</v>
      </c>
      <c r="D412" t="s">
        <v>21</v>
      </c>
      <c r="E412" t="s">
        <v>15</v>
      </c>
      <c r="F412" t="s">
        <v>60</v>
      </c>
      <c r="G412" t="s">
        <v>91</v>
      </c>
      <c r="H412" t="s">
        <v>79</v>
      </c>
      <c r="I412">
        <v>2</v>
      </c>
      <c r="J412">
        <v>562.6</v>
      </c>
      <c r="K412">
        <v>0.05</v>
      </c>
      <c r="L412">
        <v>1068.94</v>
      </c>
    </row>
    <row r="413" spans="1:12">
      <c r="A413" t="s">
        <v>776</v>
      </c>
      <c r="B413" s="1">
        <v>46316</v>
      </c>
      <c r="C413" t="s">
        <v>31</v>
      </c>
      <c r="D413" t="s">
        <v>14</v>
      </c>
      <c r="E413" t="s">
        <v>15</v>
      </c>
      <c r="F413" t="s">
        <v>23</v>
      </c>
      <c r="G413" t="s">
        <v>138</v>
      </c>
      <c r="H413" t="s">
        <v>39</v>
      </c>
      <c r="I413">
        <v>3</v>
      </c>
      <c r="J413">
        <v>58.2</v>
      </c>
      <c r="K413">
        <v>0</v>
      </c>
      <c r="L413">
        <v>174.60000000000002</v>
      </c>
    </row>
    <row r="414" spans="1:12">
      <c r="A414" t="s">
        <v>775</v>
      </c>
      <c r="B414" s="1">
        <v>46337</v>
      </c>
      <c r="C414" t="s">
        <v>31</v>
      </c>
      <c r="D414" t="s">
        <v>21</v>
      </c>
      <c r="E414" t="s">
        <v>22</v>
      </c>
      <c r="F414" t="s">
        <v>48</v>
      </c>
      <c r="G414" t="s">
        <v>49</v>
      </c>
      <c r="H414" t="s">
        <v>33</v>
      </c>
      <c r="I414">
        <v>1</v>
      </c>
      <c r="J414">
        <v>4284</v>
      </c>
      <c r="K414">
        <v>0.2</v>
      </c>
      <c r="L414">
        <v>3427.2000000000003</v>
      </c>
    </row>
    <row r="415" spans="1:12">
      <c r="A415" t="s">
        <v>770</v>
      </c>
      <c r="B415" s="1">
        <v>46383</v>
      </c>
      <c r="C415" t="s">
        <v>31</v>
      </c>
      <c r="D415" t="s">
        <v>21</v>
      </c>
      <c r="E415" t="s">
        <v>22</v>
      </c>
      <c r="F415" t="s">
        <v>60</v>
      </c>
      <c r="G415" t="s">
        <v>91</v>
      </c>
      <c r="H415" t="s">
        <v>79</v>
      </c>
      <c r="I415">
        <v>1</v>
      </c>
      <c r="J415">
        <v>580</v>
      </c>
      <c r="K415">
        <v>0</v>
      </c>
      <c r="L415">
        <v>580</v>
      </c>
    </row>
    <row r="416" spans="1:12">
      <c r="A416" t="s">
        <v>764</v>
      </c>
      <c r="B416" s="1">
        <v>46301</v>
      </c>
      <c r="C416" t="s">
        <v>31</v>
      </c>
      <c r="D416" t="s">
        <v>41</v>
      </c>
      <c r="E416" t="s">
        <v>22</v>
      </c>
      <c r="F416" t="s">
        <v>16</v>
      </c>
      <c r="G416" t="s">
        <v>57</v>
      </c>
      <c r="H416" t="s">
        <v>79</v>
      </c>
      <c r="I416">
        <v>8</v>
      </c>
      <c r="J416">
        <v>39.520000000000003</v>
      </c>
      <c r="K416">
        <v>0</v>
      </c>
      <c r="L416">
        <v>316.16000000000003</v>
      </c>
    </row>
    <row r="417" spans="1:12">
      <c r="A417" t="s">
        <v>485</v>
      </c>
      <c r="B417" s="1">
        <v>46210</v>
      </c>
      <c r="C417" t="s">
        <v>31</v>
      </c>
      <c r="D417" t="s">
        <v>14</v>
      </c>
      <c r="E417" t="s">
        <v>15</v>
      </c>
      <c r="F417" t="s">
        <v>16</v>
      </c>
      <c r="G417" t="s">
        <v>112</v>
      </c>
      <c r="H417" t="s">
        <v>79</v>
      </c>
      <c r="I417">
        <v>1</v>
      </c>
      <c r="J417">
        <v>66.3</v>
      </c>
      <c r="K417">
        <v>0</v>
      </c>
      <c r="L417">
        <v>66.3</v>
      </c>
    </row>
    <row r="418" spans="1:12">
      <c r="A418" t="s">
        <v>756</v>
      </c>
      <c r="B418" s="1">
        <v>46231</v>
      </c>
      <c r="C418" t="s">
        <v>31</v>
      </c>
      <c r="D418" t="s">
        <v>35</v>
      </c>
      <c r="E418" t="s">
        <v>15</v>
      </c>
      <c r="F418" t="s">
        <v>48</v>
      </c>
      <c r="G418" t="s">
        <v>96</v>
      </c>
      <c r="H418" t="s">
        <v>79</v>
      </c>
      <c r="I418">
        <v>3</v>
      </c>
      <c r="J418">
        <v>2650</v>
      </c>
      <c r="K418">
        <v>0.1</v>
      </c>
      <c r="L418">
        <v>7155</v>
      </c>
    </row>
    <row r="419" spans="1:12">
      <c r="A419" t="s">
        <v>487</v>
      </c>
      <c r="B419" s="1">
        <v>46342</v>
      </c>
      <c r="C419" t="s">
        <v>31</v>
      </c>
      <c r="D419" t="s">
        <v>35</v>
      </c>
      <c r="E419" t="s">
        <v>22</v>
      </c>
      <c r="F419" t="s">
        <v>60</v>
      </c>
      <c r="G419" t="s">
        <v>61</v>
      </c>
      <c r="H419" t="s">
        <v>39</v>
      </c>
      <c r="I419">
        <v>2</v>
      </c>
      <c r="J419">
        <v>807.5</v>
      </c>
      <c r="K419">
        <v>0.08</v>
      </c>
      <c r="L419">
        <v>1485.8</v>
      </c>
    </row>
    <row r="420" spans="1:12">
      <c r="A420" t="s">
        <v>754</v>
      </c>
      <c r="B420" s="1">
        <v>46288</v>
      </c>
      <c r="C420" t="s">
        <v>31</v>
      </c>
      <c r="D420" t="s">
        <v>41</v>
      </c>
      <c r="E420" t="s">
        <v>22</v>
      </c>
      <c r="F420" t="s">
        <v>27</v>
      </c>
      <c r="G420" t="s">
        <v>32</v>
      </c>
      <c r="H420" t="s">
        <v>79</v>
      </c>
      <c r="I420">
        <v>4</v>
      </c>
      <c r="J420">
        <v>271.60000000000002</v>
      </c>
      <c r="K420">
        <v>0.08</v>
      </c>
      <c r="L420">
        <v>999.48800000000017</v>
      </c>
    </row>
    <row r="421" spans="1:12">
      <c r="A421" t="s">
        <v>751</v>
      </c>
      <c r="B421" s="1">
        <v>46209</v>
      </c>
      <c r="C421" t="s">
        <v>31</v>
      </c>
      <c r="D421" t="s">
        <v>21</v>
      </c>
      <c r="E421" t="s">
        <v>15</v>
      </c>
      <c r="F421" t="s">
        <v>48</v>
      </c>
      <c r="G421" t="s">
        <v>49</v>
      </c>
      <c r="H421" t="s">
        <v>79</v>
      </c>
      <c r="I421">
        <v>1</v>
      </c>
      <c r="J421">
        <v>4200</v>
      </c>
      <c r="K421">
        <v>0.05</v>
      </c>
      <c r="L421">
        <v>3990</v>
      </c>
    </row>
    <row r="422" spans="1:12">
      <c r="A422" t="s">
        <v>490</v>
      </c>
      <c r="B422" s="1">
        <v>46095</v>
      </c>
      <c r="C422" t="s">
        <v>31</v>
      </c>
      <c r="D422" t="s">
        <v>35</v>
      </c>
      <c r="E422" t="s">
        <v>22</v>
      </c>
      <c r="F422" t="s">
        <v>27</v>
      </c>
      <c r="G422" t="s">
        <v>28</v>
      </c>
      <c r="H422" t="s">
        <v>39</v>
      </c>
      <c r="I422">
        <v>4</v>
      </c>
      <c r="J422">
        <v>21.2</v>
      </c>
      <c r="K422">
        <v>0.03</v>
      </c>
      <c r="L422">
        <v>82.256</v>
      </c>
    </row>
    <row r="423" spans="1:12">
      <c r="A423" t="s">
        <v>491</v>
      </c>
      <c r="B423" s="1">
        <v>46292</v>
      </c>
      <c r="C423" t="s">
        <v>31</v>
      </c>
      <c r="D423" t="s">
        <v>14</v>
      </c>
      <c r="E423" t="s">
        <v>15</v>
      </c>
      <c r="F423" t="s">
        <v>48</v>
      </c>
      <c r="G423" t="s">
        <v>49</v>
      </c>
      <c r="H423" t="s">
        <v>79</v>
      </c>
      <c r="I423">
        <v>1</v>
      </c>
      <c r="J423">
        <v>4200</v>
      </c>
      <c r="K423">
        <v>0.15</v>
      </c>
      <c r="L423">
        <v>3570</v>
      </c>
    </row>
    <row r="424" spans="1:12">
      <c r="A424" t="s">
        <v>492</v>
      </c>
      <c r="B424" s="1">
        <v>46174</v>
      </c>
      <c r="C424" t="s">
        <v>31</v>
      </c>
      <c r="D424" t="s">
        <v>21</v>
      </c>
      <c r="E424" t="s">
        <v>22</v>
      </c>
      <c r="F424" t="s">
        <v>73</v>
      </c>
      <c r="G424" t="s">
        <v>74</v>
      </c>
      <c r="H424" t="s">
        <v>39</v>
      </c>
      <c r="I424">
        <v>4</v>
      </c>
      <c r="J424">
        <v>8.16</v>
      </c>
      <c r="K424">
        <v>0.05</v>
      </c>
      <c r="L424">
        <v>31.007999999999999</v>
      </c>
    </row>
    <row r="425" spans="1:12">
      <c r="A425" t="s">
        <v>748</v>
      </c>
      <c r="B425" s="1">
        <v>46252</v>
      </c>
      <c r="C425" t="s">
        <v>31</v>
      </c>
      <c r="D425" t="s">
        <v>41</v>
      </c>
      <c r="E425" t="s">
        <v>22</v>
      </c>
      <c r="F425" t="s">
        <v>60</v>
      </c>
      <c r="G425" t="s">
        <v>76</v>
      </c>
      <c r="H425" t="s">
        <v>79</v>
      </c>
      <c r="I425">
        <v>1</v>
      </c>
      <c r="J425">
        <v>714</v>
      </c>
      <c r="K425">
        <v>0.05</v>
      </c>
      <c r="L425">
        <v>678.3</v>
      </c>
    </row>
    <row r="426" spans="1:12">
      <c r="A426" t="s">
        <v>745</v>
      </c>
      <c r="B426" s="1">
        <v>46174</v>
      </c>
      <c r="C426" t="s">
        <v>31</v>
      </c>
      <c r="D426" t="s">
        <v>41</v>
      </c>
      <c r="E426" t="s">
        <v>22</v>
      </c>
      <c r="F426" t="s">
        <v>48</v>
      </c>
      <c r="G426" t="s">
        <v>49</v>
      </c>
      <c r="H426" t="s">
        <v>79</v>
      </c>
      <c r="I426">
        <v>1</v>
      </c>
      <c r="J426">
        <v>4452</v>
      </c>
      <c r="K426">
        <v>0.08</v>
      </c>
      <c r="L426">
        <v>4095.84</v>
      </c>
    </row>
    <row r="427" spans="1:12">
      <c r="A427" t="s">
        <v>739</v>
      </c>
      <c r="B427" s="1">
        <v>46161</v>
      </c>
      <c r="C427" t="s">
        <v>31</v>
      </c>
      <c r="D427" t="s">
        <v>21</v>
      </c>
      <c r="E427" t="s">
        <v>15</v>
      </c>
      <c r="F427" t="s">
        <v>23</v>
      </c>
      <c r="G427" t="s">
        <v>38</v>
      </c>
      <c r="H427" t="s">
        <v>33</v>
      </c>
      <c r="I427">
        <v>5</v>
      </c>
      <c r="J427">
        <v>320</v>
      </c>
      <c r="K427">
        <v>0</v>
      </c>
      <c r="L427">
        <v>1600</v>
      </c>
    </row>
    <row r="428" spans="1:12">
      <c r="A428" t="s">
        <v>496</v>
      </c>
      <c r="B428" s="1">
        <v>46384</v>
      </c>
      <c r="C428" t="s">
        <v>31</v>
      </c>
      <c r="D428" t="s">
        <v>41</v>
      </c>
      <c r="E428" t="s">
        <v>15</v>
      </c>
      <c r="F428" t="s">
        <v>23</v>
      </c>
      <c r="G428" t="s">
        <v>24</v>
      </c>
      <c r="H428" t="s">
        <v>33</v>
      </c>
      <c r="I428">
        <v>1</v>
      </c>
      <c r="J428">
        <v>87.3</v>
      </c>
      <c r="K428">
        <v>0.05</v>
      </c>
      <c r="L428">
        <v>82.934999999999988</v>
      </c>
    </row>
    <row r="429" spans="1:12">
      <c r="A429" t="s">
        <v>738</v>
      </c>
      <c r="B429" s="1">
        <v>46252</v>
      </c>
      <c r="C429" t="s">
        <v>31</v>
      </c>
      <c r="D429" t="s">
        <v>14</v>
      </c>
      <c r="E429" t="s">
        <v>15</v>
      </c>
      <c r="F429" t="s">
        <v>48</v>
      </c>
      <c r="G429" t="s">
        <v>71</v>
      </c>
      <c r="H429" t="s">
        <v>33</v>
      </c>
      <c r="I429">
        <v>1</v>
      </c>
      <c r="J429">
        <v>3392</v>
      </c>
      <c r="K429">
        <v>0.05</v>
      </c>
      <c r="L429">
        <v>3222.3999999999996</v>
      </c>
    </row>
    <row r="430" spans="1:12">
      <c r="A430" t="s">
        <v>728</v>
      </c>
      <c r="B430" s="1">
        <v>46219</v>
      </c>
      <c r="C430" t="s">
        <v>31</v>
      </c>
      <c r="D430" t="s">
        <v>35</v>
      </c>
      <c r="E430" t="s">
        <v>15</v>
      </c>
      <c r="F430" t="s">
        <v>48</v>
      </c>
      <c r="G430" t="s">
        <v>96</v>
      </c>
      <c r="H430" t="s">
        <v>39</v>
      </c>
      <c r="I430">
        <v>1</v>
      </c>
      <c r="J430">
        <v>2500</v>
      </c>
      <c r="K430">
        <v>0.03</v>
      </c>
      <c r="L430">
        <v>2425</v>
      </c>
    </row>
    <row r="431" spans="1:12">
      <c r="A431" t="s">
        <v>727</v>
      </c>
      <c r="B431" s="1">
        <v>46031</v>
      </c>
      <c r="C431" t="s">
        <v>31</v>
      </c>
      <c r="D431" t="s">
        <v>21</v>
      </c>
      <c r="E431" t="s">
        <v>15</v>
      </c>
      <c r="F431" t="s">
        <v>73</v>
      </c>
      <c r="G431" t="s">
        <v>145</v>
      </c>
      <c r="H431" t="s">
        <v>39</v>
      </c>
      <c r="I431">
        <v>2</v>
      </c>
      <c r="J431">
        <v>17.100000000000001</v>
      </c>
      <c r="K431">
        <v>0.2</v>
      </c>
      <c r="L431">
        <v>27.360000000000003</v>
      </c>
    </row>
    <row r="432" spans="1:12">
      <c r="A432" t="s">
        <v>720</v>
      </c>
      <c r="B432" s="1">
        <v>46031</v>
      </c>
      <c r="C432" t="s">
        <v>31</v>
      </c>
      <c r="D432" t="s">
        <v>21</v>
      </c>
      <c r="E432" t="s">
        <v>15</v>
      </c>
      <c r="F432" t="s">
        <v>60</v>
      </c>
      <c r="G432" t="s">
        <v>76</v>
      </c>
      <c r="H432" t="s">
        <v>33</v>
      </c>
      <c r="I432">
        <v>1</v>
      </c>
      <c r="J432">
        <v>679</v>
      </c>
      <c r="K432">
        <v>0</v>
      </c>
      <c r="L432">
        <v>679</v>
      </c>
    </row>
    <row r="433" spans="1:12">
      <c r="A433" t="s">
        <v>710</v>
      </c>
      <c r="B433" s="1">
        <v>46348</v>
      </c>
      <c r="C433" t="s">
        <v>31</v>
      </c>
      <c r="D433" t="s">
        <v>41</v>
      </c>
      <c r="E433" t="s">
        <v>22</v>
      </c>
      <c r="F433" t="s">
        <v>48</v>
      </c>
      <c r="G433" t="s">
        <v>49</v>
      </c>
      <c r="H433" t="s">
        <v>79</v>
      </c>
      <c r="I433">
        <v>1</v>
      </c>
      <c r="J433">
        <v>4200</v>
      </c>
      <c r="K433">
        <v>0.2</v>
      </c>
      <c r="L433">
        <v>3360</v>
      </c>
    </row>
    <row r="434" spans="1:12">
      <c r="A434" t="s">
        <v>703</v>
      </c>
      <c r="B434" s="1">
        <v>46109</v>
      </c>
      <c r="C434" t="s">
        <v>31</v>
      </c>
      <c r="D434" t="s">
        <v>35</v>
      </c>
      <c r="E434" t="s">
        <v>22</v>
      </c>
      <c r="F434" t="s">
        <v>16</v>
      </c>
      <c r="G434" t="s">
        <v>42</v>
      </c>
      <c r="H434" t="s">
        <v>33</v>
      </c>
      <c r="I434">
        <v>8</v>
      </c>
      <c r="J434">
        <v>45.9</v>
      </c>
      <c r="K434">
        <v>0.15</v>
      </c>
      <c r="L434">
        <v>312.12</v>
      </c>
    </row>
    <row r="435" spans="1:12">
      <c r="A435" t="s">
        <v>693</v>
      </c>
      <c r="B435" s="1">
        <v>46033</v>
      </c>
      <c r="C435" t="s">
        <v>31</v>
      </c>
      <c r="D435" t="s">
        <v>35</v>
      </c>
      <c r="E435" t="s">
        <v>22</v>
      </c>
      <c r="F435" t="s">
        <v>60</v>
      </c>
      <c r="G435" t="s">
        <v>76</v>
      </c>
      <c r="H435" t="s">
        <v>79</v>
      </c>
      <c r="I435">
        <v>1</v>
      </c>
      <c r="J435">
        <v>700</v>
      </c>
      <c r="K435">
        <v>0.08</v>
      </c>
      <c r="L435">
        <v>644</v>
      </c>
    </row>
    <row r="436" spans="1:12">
      <c r="A436" t="s">
        <v>688</v>
      </c>
      <c r="B436" s="1">
        <v>46175</v>
      </c>
      <c r="C436" t="s">
        <v>31</v>
      </c>
      <c r="D436" t="s">
        <v>21</v>
      </c>
      <c r="E436" t="s">
        <v>22</v>
      </c>
      <c r="F436" t="s">
        <v>48</v>
      </c>
      <c r="G436" t="s">
        <v>96</v>
      </c>
      <c r="H436" t="s">
        <v>33</v>
      </c>
      <c r="I436">
        <v>1</v>
      </c>
      <c r="J436">
        <v>2650</v>
      </c>
      <c r="K436">
        <v>0.05</v>
      </c>
      <c r="L436">
        <v>2517.5</v>
      </c>
    </row>
    <row r="437" spans="1:12">
      <c r="A437" t="s">
        <v>686</v>
      </c>
      <c r="B437" s="1">
        <v>46132</v>
      </c>
      <c r="C437" t="s">
        <v>31</v>
      </c>
      <c r="D437" t="s">
        <v>14</v>
      </c>
      <c r="E437" t="s">
        <v>22</v>
      </c>
      <c r="F437" t="s">
        <v>23</v>
      </c>
      <c r="G437" t="s">
        <v>24</v>
      </c>
      <c r="H437" t="s">
        <v>39</v>
      </c>
      <c r="I437">
        <v>2</v>
      </c>
      <c r="J437">
        <v>90</v>
      </c>
      <c r="K437">
        <v>0.05</v>
      </c>
      <c r="L437">
        <v>171</v>
      </c>
    </row>
    <row r="438" spans="1:12">
      <c r="A438" t="s">
        <v>685</v>
      </c>
      <c r="B438" s="1">
        <v>46239</v>
      </c>
      <c r="C438" t="s">
        <v>31</v>
      </c>
      <c r="D438" t="s">
        <v>35</v>
      </c>
      <c r="E438" t="s">
        <v>22</v>
      </c>
      <c r="F438" t="s">
        <v>60</v>
      </c>
      <c r="G438" t="s">
        <v>91</v>
      </c>
      <c r="H438" t="s">
        <v>79</v>
      </c>
      <c r="I438">
        <v>1</v>
      </c>
      <c r="J438">
        <v>580</v>
      </c>
      <c r="K438">
        <v>0.1</v>
      </c>
      <c r="L438">
        <v>522</v>
      </c>
    </row>
    <row r="439" spans="1:12">
      <c r="A439" t="s">
        <v>683</v>
      </c>
      <c r="B439" s="1">
        <v>46247</v>
      </c>
      <c r="C439" t="s">
        <v>31</v>
      </c>
      <c r="D439" t="s">
        <v>41</v>
      </c>
      <c r="E439" t="s">
        <v>22</v>
      </c>
      <c r="F439" t="s">
        <v>16</v>
      </c>
      <c r="G439" t="s">
        <v>17</v>
      </c>
      <c r="H439" t="s">
        <v>33</v>
      </c>
      <c r="I439">
        <v>4</v>
      </c>
      <c r="J439">
        <v>15</v>
      </c>
      <c r="K439">
        <v>0.15</v>
      </c>
      <c r="L439">
        <v>51</v>
      </c>
    </row>
    <row r="440" spans="1:12">
      <c r="A440" t="s">
        <v>679</v>
      </c>
      <c r="B440" s="1">
        <v>46306</v>
      </c>
      <c r="C440" t="s">
        <v>31</v>
      </c>
      <c r="D440" t="s">
        <v>14</v>
      </c>
      <c r="E440" t="s">
        <v>15</v>
      </c>
      <c r="F440" t="s">
        <v>23</v>
      </c>
      <c r="G440" t="s">
        <v>138</v>
      </c>
      <c r="H440" t="s">
        <v>33</v>
      </c>
      <c r="I440">
        <v>1</v>
      </c>
      <c r="J440">
        <v>57</v>
      </c>
      <c r="K440">
        <v>0.05</v>
      </c>
      <c r="L440">
        <v>54.15</v>
      </c>
    </row>
    <row r="441" spans="1:12">
      <c r="A441" t="s">
        <v>509</v>
      </c>
      <c r="B441" s="1">
        <v>46199</v>
      </c>
      <c r="C441" t="s">
        <v>31</v>
      </c>
      <c r="D441" t="s">
        <v>14</v>
      </c>
      <c r="E441" t="s">
        <v>22</v>
      </c>
      <c r="F441" t="s">
        <v>16</v>
      </c>
      <c r="G441" t="s">
        <v>57</v>
      </c>
      <c r="H441" t="s">
        <v>79</v>
      </c>
      <c r="I441">
        <v>1</v>
      </c>
      <c r="J441">
        <v>39.520000000000003</v>
      </c>
      <c r="K441">
        <v>0.08</v>
      </c>
      <c r="L441">
        <v>36.358400000000003</v>
      </c>
    </row>
    <row r="442" spans="1:12">
      <c r="A442" t="s">
        <v>678</v>
      </c>
      <c r="B442" s="1">
        <v>46161</v>
      </c>
      <c r="C442" t="s">
        <v>31</v>
      </c>
      <c r="D442" t="s">
        <v>35</v>
      </c>
      <c r="E442" t="s">
        <v>15</v>
      </c>
      <c r="F442" t="s">
        <v>73</v>
      </c>
      <c r="G442" t="s">
        <v>145</v>
      </c>
      <c r="H442" t="s">
        <v>79</v>
      </c>
      <c r="I442">
        <v>4</v>
      </c>
      <c r="J442">
        <v>18.72</v>
      </c>
      <c r="K442">
        <v>0.03</v>
      </c>
      <c r="L442">
        <v>72.633599999999987</v>
      </c>
    </row>
    <row r="443" spans="1:12">
      <c r="A443" t="s">
        <v>677</v>
      </c>
      <c r="B443" s="1">
        <v>46226</v>
      </c>
      <c r="C443" t="s">
        <v>31</v>
      </c>
      <c r="D443" t="s">
        <v>14</v>
      </c>
      <c r="E443" t="s">
        <v>22</v>
      </c>
      <c r="F443" t="s">
        <v>60</v>
      </c>
      <c r="G443" t="s">
        <v>91</v>
      </c>
      <c r="H443" t="s">
        <v>33</v>
      </c>
      <c r="I443">
        <v>4</v>
      </c>
      <c r="J443">
        <v>580</v>
      </c>
      <c r="K443">
        <v>0.1</v>
      </c>
      <c r="L443">
        <v>2088</v>
      </c>
    </row>
    <row r="444" spans="1:12">
      <c r="A444" t="s">
        <v>512</v>
      </c>
      <c r="B444" s="1">
        <v>46105</v>
      </c>
      <c r="C444" t="s">
        <v>31</v>
      </c>
      <c r="D444" t="s">
        <v>41</v>
      </c>
      <c r="E444" t="s">
        <v>22</v>
      </c>
      <c r="F444" t="s">
        <v>16</v>
      </c>
      <c r="G444" t="s">
        <v>17</v>
      </c>
      <c r="H444" t="s">
        <v>39</v>
      </c>
      <c r="I444">
        <v>1</v>
      </c>
      <c r="J444">
        <v>15</v>
      </c>
      <c r="K444">
        <v>0.15</v>
      </c>
      <c r="L444">
        <v>12.75</v>
      </c>
    </row>
    <row r="445" spans="1:12">
      <c r="A445" t="s">
        <v>513</v>
      </c>
      <c r="B445" s="1">
        <v>46085</v>
      </c>
      <c r="C445" t="s">
        <v>31</v>
      </c>
      <c r="D445" t="s">
        <v>21</v>
      </c>
      <c r="E445" t="s">
        <v>15</v>
      </c>
      <c r="F445" t="s">
        <v>73</v>
      </c>
      <c r="G445" t="s">
        <v>74</v>
      </c>
      <c r="H445" t="s">
        <v>79</v>
      </c>
      <c r="I445">
        <v>2</v>
      </c>
      <c r="J445">
        <v>7.76</v>
      </c>
      <c r="K445">
        <v>0</v>
      </c>
      <c r="L445">
        <v>15.52</v>
      </c>
    </row>
    <row r="446" spans="1:12">
      <c r="A446" t="s">
        <v>668</v>
      </c>
      <c r="B446" s="1">
        <v>46368</v>
      </c>
      <c r="C446" t="s">
        <v>31</v>
      </c>
      <c r="D446" t="s">
        <v>14</v>
      </c>
      <c r="E446" t="s">
        <v>22</v>
      </c>
      <c r="F446" t="s">
        <v>16</v>
      </c>
      <c r="G446" t="s">
        <v>112</v>
      </c>
      <c r="H446" t="s">
        <v>79</v>
      </c>
      <c r="I446">
        <v>4</v>
      </c>
      <c r="J446">
        <v>65</v>
      </c>
      <c r="K446">
        <v>0.1</v>
      </c>
      <c r="L446">
        <v>234</v>
      </c>
    </row>
    <row r="447" spans="1:12">
      <c r="A447" t="s">
        <v>661</v>
      </c>
      <c r="B447" s="1">
        <v>46336</v>
      </c>
      <c r="C447" t="s">
        <v>31</v>
      </c>
      <c r="D447" t="s">
        <v>35</v>
      </c>
      <c r="E447" t="s">
        <v>22</v>
      </c>
      <c r="F447" t="s">
        <v>23</v>
      </c>
      <c r="G447" t="s">
        <v>24</v>
      </c>
      <c r="H447" t="s">
        <v>79</v>
      </c>
      <c r="I447">
        <v>11</v>
      </c>
      <c r="J447">
        <v>90</v>
      </c>
      <c r="K447">
        <v>0.1</v>
      </c>
      <c r="L447">
        <v>891</v>
      </c>
    </row>
    <row r="448" spans="1:12">
      <c r="A448" t="s">
        <v>654</v>
      </c>
      <c r="B448" s="1">
        <v>46185</v>
      </c>
      <c r="C448" t="s">
        <v>31</v>
      </c>
      <c r="D448" t="s">
        <v>21</v>
      </c>
      <c r="E448" t="s">
        <v>15</v>
      </c>
      <c r="F448" t="s">
        <v>48</v>
      </c>
      <c r="G448" t="s">
        <v>54</v>
      </c>
      <c r="H448" t="s">
        <v>79</v>
      </c>
      <c r="I448">
        <v>1</v>
      </c>
      <c r="J448">
        <v>1800</v>
      </c>
      <c r="K448">
        <v>0.08</v>
      </c>
      <c r="L448">
        <v>1656</v>
      </c>
    </row>
    <row r="449" spans="1:12">
      <c r="A449" t="s">
        <v>517</v>
      </c>
      <c r="B449" s="1">
        <v>46219</v>
      </c>
      <c r="C449" t="s">
        <v>31</v>
      </c>
      <c r="D449" t="s">
        <v>14</v>
      </c>
      <c r="E449" t="s">
        <v>15</v>
      </c>
      <c r="F449" t="s">
        <v>23</v>
      </c>
      <c r="G449" t="s">
        <v>138</v>
      </c>
      <c r="H449" t="s">
        <v>33</v>
      </c>
      <c r="I449">
        <v>1</v>
      </c>
      <c r="J449">
        <v>60</v>
      </c>
      <c r="K449">
        <v>0</v>
      </c>
      <c r="L449">
        <v>60</v>
      </c>
    </row>
    <row r="450" spans="1:12">
      <c r="A450" t="s">
        <v>649</v>
      </c>
      <c r="B450" s="1">
        <v>46135</v>
      </c>
      <c r="C450" t="s">
        <v>31</v>
      </c>
      <c r="D450" t="s">
        <v>14</v>
      </c>
      <c r="E450" t="s">
        <v>15</v>
      </c>
      <c r="F450" t="s">
        <v>27</v>
      </c>
      <c r="G450" t="s">
        <v>32</v>
      </c>
      <c r="H450" t="s">
        <v>79</v>
      </c>
      <c r="I450">
        <v>2</v>
      </c>
      <c r="J450">
        <v>280</v>
      </c>
      <c r="K450">
        <v>0.08</v>
      </c>
      <c r="L450">
        <v>515.20000000000005</v>
      </c>
    </row>
    <row r="451" spans="1:12">
      <c r="A451" t="s">
        <v>519</v>
      </c>
      <c r="B451" s="1">
        <v>46136</v>
      </c>
      <c r="C451" t="s">
        <v>31</v>
      </c>
      <c r="D451" t="s">
        <v>41</v>
      </c>
      <c r="E451" t="s">
        <v>22</v>
      </c>
      <c r="F451" t="s">
        <v>16</v>
      </c>
      <c r="G451" t="s">
        <v>17</v>
      </c>
      <c r="H451" t="s">
        <v>33</v>
      </c>
      <c r="I451">
        <v>4</v>
      </c>
      <c r="J451">
        <v>15.9</v>
      </c>
      <c r="K451">
        <v>0.03</v>
      </c>
      <c r="L451">
        <v>61.692</v>
      </c>
    </row>
    <row r="452" spans="1:12">
      <c r="A452" t="s">
        <v>648</v>
      </c>
      <c r="B452" s="1">
        <v>46355</v>
      </c>
      <c r="C452" t="s">
        <v>31</v>
      </c>
      <c r="D452" t="s">
        <v>41</v>
      </c>
      <c r="E452" t="s">
        <v>22</v>
      </c>
      <c r="F452" t="s">
        <v>16</v>
      </c>
      <c r="G452" t="s">
        <v>112</v>
      </c>
      <c r="H452" t="s">
        <v>79</v>
      </c>
      <c r="I452">
        <v>7</v>
      </c>
      <c r="J452">
        <v>65</v>
      </c>
      <c r="K452">
        <v>0</v>
      </c>
      <c r="L452">
        <v>455</v>
      </c>
    </row>
    <row r="453" spans="1:12">
      <c r="A453" t="s">
        <v>642</v>
      </c>
      <c r="B453" s="1">
        <v>46339</v>
      </c>
      <c r="C453" t="s">
        <v>31</v>
      </c>
      <c r="D453" t="s">
        <v>41</v>
      </c>
      <c r="E453" t="s">
        <v>22</v>
      </c>
      <c r="F453" t="s">
        <v>23</v>
      </c>
      <c r="G453" t="s">
        <v>52</v>
      </c>
      <c r="H453" t="s">
        <v>39</v>
      </c>
      <c r="I453">
        <v>2</v>
      </c>
      <c r="J453">
        <v>436.5</v>
      </c>
      <c r="K453">
        <v>0.1</v>
      </c>
      <c r="L453">
        <v>785.7</v>
      </c>
    </row>
    <row r="454" spans="1:12">
      <c r="A454" t="s">
        <v>522</v>
      </c>
      <c r="B454" s="1">
        <v>46052</v>
      </c>
      <c r="C454" t="s">
        <v>31</v>
      </c>
      <c r="D454" t="s">
        <v>21</v>
      </c>
      <c r="E454" t="s">
        <v>22</v>
      </c>
      <c r="F454" t="s">
        <v>16</v>
      </c>
      <c r="G454" t="s">
        <v>17</v>
      </c>
      <c r="H454" t="s">
        <v>33</v>
      </c>
      <c r="I454">
        <v>2</v>
      </c>
      <c r="J454">
        <v>14.25</v>
      </c>
      <c r="K454">
        <v>0.1</v>
      </c>
      <c r="L454">
        <v>25.650000000000002</v>
      </c>
    </row>
    <row r="455" spans="1:12">
      <c r="A455" t="s">
        <v>639</v>
      </c>
      <c r="B455" s="1">
        <v>46385</v>
      </c>
      <c r="C455" t="s">
        <v>31</v>
      </c>
      <c r="D455" t="s">
        <v>41</v>
      </c>
      <c r="E455" t="s">
        <v>15</v>
      </c>
      <c r="F455" t="s">
        <v>60</v>
      </c>
      <c r="G455" t="s">
        <v>91</v>
      </c>
      <c r="H455" t="s">
        <v>39</v>
      </c>
      <c r="I455">
        <v>2</v>
      </c>
      <c r="J455">
        <v>603.20000000000005</v>
      </c>
      <c r="K455">
        <v>0.08</v>
      </c>
      <c r="L455">
        <v>1109.8880000000001</v>
      </c>
    </row>
    <row r="456" spans="1:12">
      <c r="A456" t="s">
        <v>524</v>
      </c>
      <c r="B456" s="1">
        <v>46077</v>
      </c>
      <c r="C456" t="s">
        <v>31</v>
      </c>
      <c r="D456" t="s">
        <v>21</v>
      </c>
      <c r="E456" t="s">
        <v>15</v>
      </c>
      <c r="F456" t="s">
        <v>23</v>
      </c>
      <c r="G456" t="s">
        <v>38</v>
      </c>
      <c r="H456" t="s">
        <v>39</v>
      </c>
      <c r="I456">
        <v>4</v>
      </c>
      <c r="J456">
        <v>332.8</v>
      </c>
      <c r="K456">
        <v>0.08</v>
      </c>
      <c r="L456">
        <v>1224.7040000000002</v>
      </c>
    </row>
    <row r="457" spans="1:12">
      <c r="A457" t="s">
        <v>638</v>
      </c>
      <c r="B457" s="1">
        <v>46335</v>
      </c>
      <c r="C457" t="s">
        <v>31</v>
      </c>
      <c r="D457" t="s">
        <v>21</v>
      </c>
      <c r="E457" t="s">
        <v>22</v>
      </c>
      <c r="F457" t="s">
        <v>48</v>
      </c>
      <c r="G457" t="s">
        <v>49</v>
      </c>
      <c r="H457" t="s">
        <v>79</v>
      </c>
      <c r="I457">
        <v>2</v>
      </c>
      <c r="J457">
        <v>4200</v>
      </c>
      <c r="K457">
        <v>0.1</v>
      </c>
      <c r="L457">
        <v>7560</v>
      </c>
    </row>
    <row r="458" spans="1:12">
      <c r="A458" t="s">
        <v>637</v>
      </c>
      <c r="B458" s="1">
        <v>46385</v>
      </c>
      <c r="C458" t="s">
        <v>31</v>
      </c>
      <c r="D458" t="s">
        <v>41</v>
      </c>
      <c r="E458" t="s">
        <v>22</v>
      </c>
      <c r="F458" t="s">
        <v>16</v>
      </c>
      <c r="G458" t="s">
        <v>65</v>
      </c>
      <c r="H458" t="s">
        <v>33</v>
      </c>
      <c r="I458">
        <v>5</v>
      </c>
      <c r="J458">
        <v>84.8</v>
      </c>
      <c r="K458">
        <v>0.05</v>
      </c>
      <c r="L458">
        <v>402.79999999999995</v>
      </c>
    </row>
    <row r="459" spans="1:12">
      <c r="A459" t="s">
        <v>636</v>
      </c>
      <c r="B459" s="1">
        <v>46243</v>
      </c>
      <c r="C459" t="s">
        <v>31</v>
      </c>
      <c r="D459" t="s">
        <v>41</v>
      </c>
      <c r="E459" t="s">
        <v>22</v>
      </c>
      <c r="F459" t="s">
        <v>16</v>
      </c>
      <c r="G459" t="s">
        <v>57</v>
      </c>
      <c r="H459" t="s">
        <v>39</v>
      </c>
      <c r="I459">
        <v>6</v>
      </c>
      <c r="J459">
        <v>38</v>
      </c>
      <c r="K459">
        <v>0.08</v>
      </c>
      <c r="L459">
        <v>209.76000000000002</v>
      </c>
    </row>
    <row r="460" spans="1:12">
      <c r="A460" t="s">
        <v>635</v>
      </c>
      <c r="B460" s="1">
        <v>46371</v>
      </c>
      <c r="C460" t="s">
        <v>31</v>
      </c>
      <c r="D460" t="s">
        <v>14</v>
      </c>
      <c r="E460" t="s">
        <v>22</v>
      </c>
      <c r="F460" t="s">
        <v>16</v>
      </c>
      <c r="G460" t="s">
        <v>57</v>
      </c>
      <c r="H460" t="s">
        <v>39</v>
      </c>
      <c r="I460">
        <v>1</v>
      </c>
      <c r="J460">
        <v>38</v>
      </c>
      <c r="K460">
        <v>0.03</v>
      </c>
      <c r="L460">
        <v>36.86</v>
      </c>
    </row>
    <row r="461" spans="1:12">
      <c r="A461" t="s">
        <v>628</v>
      </c>
      <c r="B461" s="1">
        <v>46272</v>
      </c>
      <c r="C461" t="s">
        <v>31</v>
      </c>
      <c r="D461" t="s">
        <v>14</v>
      </c>
      <c r="E461" t="s">
        <v>22</v>
      </c>
      <c r="F461" t="s">
        <v>16</v>
      </c>
      <c r="G461" t="s">
        <v>112</v>
      </c>
      <c r="H461" t="s">
        <v>39</v>
      </c>
      <c r="I461">
        <v>3</v>
      </c>
      <c r="J461">
        <v>61.75</v>
      </c>
      <c r="K461">
        <v>0.08</v>
      </c>
      <c r="L461">
        <v>170.43</v>
      </c>
    </row>
    <row r="462" spans="1:12">
      <c r="A462" t="s">
        <v>627</v>
      </c>
      <c r="B462" s="1">
        <v>46148</v>
      </c>
      <c r="C462" t="s">
        <v>31</v>
      </c>
      <c r="D462" t="s">
        <v>21</v>
      </c>
      <c r="E462" t="s">
        <v>15</v>
      </c>
      <c r="F462" t="s">
        <v>16</v>
      </c>
      <c r="G462" t="s">
        <v>42</v>
      </c>
      <c r="H462" t="s">
        <v>33</v>
      </c>
      <c r="I462">
        <v>2</v>
      </c>
      <c r="J462">
        <v>45</v>
      </c>
      <c r="K462">
        <v>0.1</v>
      </c>
      <c r="L462">
        <v>81</v>
      </c>
    </row>
    <row r="463" spans="1:12">
      <c r="A463" t="s">
        <v>625</v>
      </c>
      <c r="B463" s="1">
        <v>46276</v>
      </c>
      <c r="C463" t="s">
        <v>31</v>
      </c>
      <c r="D463" t="s">
        <v>35</v>
      </c>
      <c r="E463" t="s">
        <v>22</v>
      </c>
      <c r="F463" t="s">
        <v>48</v>
      </c>
      <c r="G463" t="s">
        <v>96</v>
      </c>
      <c r="H463" t="s">
        <v>79</v>
      </c>
      <c r="I463">
        <v>1</v>
      </c>
      <c r="J463">
        <v>2375</v>
      </c>
      <c r="K463">
        <v>0.05</v>
      </c>
      <c r="L463">
        <v>2256.25</v>
      </c>
    </row>
    <row r="464" spans="1:12">
      <c r="A464" t="s">
        <v>624</v>
      </c>
      <c r="B464" s="1">
        <v>46330</v>
      </c>
      <c r="C464" t="s">
        <v>31</v>
      </c>
      <c r="D464" t="s">
        <v>21</v>
      </c>
      <c r="E464" t="s">
        <v>22</v>
      </c>
      <c r="F464" t="s">
        <v>16</v>
      </c>
      <c r="G464" t="s">
        <v>112</v>
      </c>
      <c r="H464" t="s">
        <v>39</v>
      </c>
      <c r="I464">
        <v>2</v>
      </c>
      <c r="J464">
        <v>67.599999999999994</v>
      </c>
      <c r="K464">
        <v>0.15</v>
      </c>
      <c r="L464">
        <v>114.91999999999999</v>
      </c>
    </row>
    <row r="465" spans="1:12">
      <c r="A465" t="s">
        <v>621</v>
      </c>
      <c r="B465" s="1">
        <v>46357</v>
      </c>
      <c r="C465" t="s">
        <v>31</v>
      </c>
      <c r="D465" t="s">
        <v>14</v>
      </c>
      <c r="E465" t="s">
        <v>22</v>
      </c>
      <c r="F465" t="s">
        <v>16</v>
      </c>
      <c r="G465" t="s">
        <v>42</v>
      </c>
      <c r="H465" t="s">
        <v>33</v>
      </c>
      <c r="I465">
        <v>5</v>
      </c>
      <c r="J465">
        <v>45</v>
      </c>
      <c r="K465">
        <v>0.1</v>
      </c>
      <c r="L465">
        <v>202.5</v>
      </c>
    </row>
    <row r="466" spans="1:12">
      <c r="A466" t="s">
        <v>620</v>
      </c>
      <c r="B466" s="1">
        <v>46083</v>
      </c>
      <c r="C466" t="s">
        <v>31</v>
      </c>
      <c r="D466" t="s">
        <v>35</v>
      </c>
      <c r="E466" t="s">
        <v>22</v>
      </c>
      <c r="F466" t="s">
        <v>60</v>
      </c>
      <c r="G466" t="s">
        <v>91</v>
      </c>
      <c r="H466" t="s">
        <v>33</v>
      </c>
      <c r="I466">
        <v>1</v>
      </c>
      <c r="J466">
        <v>580</v>
      </c>
      <c r="K466">
        <v>0.2</v>
      </c>
      <c r="L466">
        <v>464</v>
      </c>
    </row>
    <row r="467" spans="1:12">
      <c r="A467" t="s">
        <v>619</v>
      </c>
      <c r="B467" s="1">
        <v>46378</v>
      </c>
      <c r="C467" t="s">
        <v>31</v>
      </c>
      <c r="D467" t="s">
        <v>35</v>
      </c>
      <c r="E467" t="s">
        <v>22</v>
      </c>
      <c r="F467" t="s">
        <v>23</v>
      </c>
      <c r="G467" t="s">
        <v>138</v>
      </c>
      <c r="H467" t="s">
        <v>39</v>
      </c>
      <c r="I467">
        <v>3</v>
      </c>
      <c r="J467">
        <v>63.6</v>
      </c>
      <c r="K467">
        <v>0.1</v>
      </c>
      <c r="L467">
        <v>171.72000000000003</v>
      </c>
    </row>
    <row r="468" spans="1:12">
      <c r="A468" t="s">
        <v>618</v>
      </c>
      <c r="B468" s="1">
        <v>46286</v>
      </c>
      <c r="C468" t="s">
        <v>31</v>
      </c>
      <c r="D468" t="s">
        <v>21</v>
      </c>
      <c r="E468" t="s">
        <v>22</v>
      </c>
      <c r="F468" t="s">
        <v>16</v>
      </c>
      <c r="G468" t="s">
        <v>69</v>
      </c>
      <c r="H468" t="s">
        <v>79</v>
      </c>
      <c r="I468">
        <v>3</v>
      </c>
      <c r="J468">
        <v>55</v>
      </c>
      <c r="K468">
        <v>0</v>
      </c>
      <c r="L468">
        <v>165</v>
      </c>
    </row>
    <row r="469" spans="1:12">
      <c r="A469" t="s">
        <v>537</v>
      </c>
      <c r="B469" s="1">
        <v>46359</v>
      </c>
      <c r="C469" t="s">
        <v>31</v>
      </c>
      <c r="D469" t="s">
        <v>21</v>
      </c>
      <c r="E469" t="s">
        <v>22</v>
      </c>
      <c r="F469" t="s">
        <v>16</v>
      </c>
      <c r="G469" t="s">
        <v>57</v>
      </c>
      <c r="H469" t="s">
        <v>33</v>
      </c>
      <c r="I469">
        <v>4</v>
      </c>
      <c r="J469">
        <v>36.1</v>
      </c>
      <c r="K469">
        <v>0.03</v>
      </c>
      <c r="L469">
        <v>140.06800000000001</v>
      </c>
    </row>
    <row r="470" spans="1:12">
      <c r="A470" t="s">
        <v>597</v>
      </c>
      <c r="B470" s="1">
        <v>46181</v>
      </c>
      <c r="C470" t="s">
        <v>31</v>
      </c>
      <c r="D470" t="s">
        <v>21</v>
      </c>
      <c r="E470" t="s">
        <v>22</v>
      </c>
      <c r="F470" t="s">
        <v>73</v>
      </c>
      <c r="G470" t="s">
        <v>81</v>
      </c>
      <c r="H470" t="s">
        <v>33</v>
      </c>
      <c r="I470">
        <v>2</v>
      </c>
      <c r="J470">
        <v>12</v>
      </c>
      <c r="K470">
        <v>0.08</v>
      </c>
      <c r="L470">
        <v>22.080000000000002</v>
      </c>
    </row>
    <row r="471" spans="1:12">
      <c r="A471" t="s">
        <v>582</v>
      </c>
      <c r="B471" s="1">
        <v>46035</v>
      </c>
      <c r="C471" t="s">
        <v>31</v>
      </c>
      <c r="D471" t="s">
        <v>21</v>
      </c>
      <c r="E471" t="s">
        <v>15</v>
      </c>
      <c r="F471" t="s">
        <v>60</v>
      </c>
      <c r="G471" t="s">
        <v>76</v>
      </c>
      <c r="H471" t="s">
        <v>39</v>
      </c>
      <c r="I471">
        <v>1</v>
      </c>
      <c r="J471">
        <v>714</v>
      </c>
      <c r="K471">
        <v>0.1</v>
      </c>
      <c r="L471">
        <v>642.6</v>
      </c>
    </row>
    <row r="472" spans="1:12">
      <c r="A472" t="s">
        <v>580</v>
      </c>
      <c r="B472" s="1">
        <v>46317</v>
      </c>
      <c r="C472" t="s">
        <v>31</v>
      </c>
      <c r="D472" t="s">
        <v>14</v>
      </c>
      <c r="E472" t="s">
        <v>15</v>
      </c>
      <c r="F472" t="s">
        <v>16</v>
      </c>
      <c r="G472" t="s">
        <v>65</v>
      </c>
      <c r="H472" t="s">
        <v>33</v>
      </c>
      <c r="I472">
        <v>1</v>
      </c>
      <c r="J472">
        <v>77.599999999999994</v>
      </c>
      <c r="K472">
        <v>0.03</v>
      </c>
      <c r="L472">
        <v>75.271999999999991</v>
      </c>
    </row>
    <row r="473" spans="1:12">
      <c r="A473" t="s">
        <v>578</v>
      </c>
      <c r="B473" s="1">
        <v>46282</v>
      </c>
      <c r="C473" t="s">
        <v>31</v>
      </c>
      <c r="D473" t="s">
        <v>14</v>
      </c>
      <c r="E473" t="s">
        <v>15</v>
      </c>
      <c r="F473" t="s">
        <v>73</v>
      </c>
      <c r="G473" t="s">
        <v>127</v>
      </c>
      <c r="H473" t="s">
        <v>39</v>
      </c>
      <c r="I473">
        <v>2</v>
      </c>
      <c r="J473">
        <v>25.5</v>
      </c>
      <c r="K473">
        <v>0</v>
      </c>
      <c r="L473">
        <v>51</v>
      </c>
    </row>
    <row r="474" spans="1:12">
      <c r="A474" t="s">
        <v>567</v>
      </c>
      <c r="B474" s="1">
        <v>46285</v>
      </c>
      <c r="C474" t="s">
        <v>31</v>
      </c>
      <c r="D474" t="s">
        <v>21</v>
      </c>
      <c r="E474" t="s">
        <v>22</v>
      </c>
      <c r="F474" t="s">
        <v>60</v>
      </c>
      <c r="G474" t="s">
        <v>91</v>
      </c>
      <c r="H474" t="s">
        <v>39</v>
      </c>
      <c r="I474">
        <v>2</v>
      </c>
      <c r="J474">
        <v>614.79999999999995</v>
      </c>
      <c r="K474">
        <v>0.08</v>
      </c>
      <c r="L474">
        <v>1131.232</v>
      </c>
    </row>
    <row r="475" spans="1:12">
      <c r="A475" t="s">
        <v>561</v>
      </c>
      <c r="B475" s="1">
        <v>46118</v>
      </c>
      <c r="C475" t="s">
        <v>31</v>
      </c>
      <c r="D475" t="s">
        <v>14</v>
      </c>
      <c r="E475" t="s">
        <v>15</v>
      </c>
      <c r="F475" t="s">
        <v>23</v>
      </c>
      <c r="G475" t="s">
        <v>138</v>
      </c>
      <c r="H475" t="s">
        <v>39</v>
      </c>
      <c r="I475">
        <v>2</v>
      </c>
      <c r="J475">
        <v>57</v>
      </c>
      <c r="K475">
        <v>0.1</v>
      </c>
      <c r="L475">
        <v>102.60000000000001</v>
      </c>
    </row>
    <row r="476" spans="1:12">
      <c r="A476" t="s">
        <v>544</v>
      </c>
      <c r="B476" s="1">
        <v>46357</v>
      </c>
      <c r="C476" t="s">
        <v>31</v>
      </c>
      <c r="D476" t="s">
        <v>41</v>
      </c>
      <c r="E476" t="s">
        <v>15</v>
      </c>
      <c r="F476" t="s">
        <v>60</v>
      </c>
      <c r="G476" t="s">
        <v>61</v>
      </c>
      <c r="H476" t="s">
        <v>39</v>
      </c>
      <c r="I476">
        <v>1</v>
      </c>
      <c r="J476">
        <v>807.5</v>
      </c>
      <c r="K476">
        <v>0.05</v>
      </c>
      <c r="L476">
        <v>767.125</v>
      </c>
    </row>
    <row r="477" spans="1:12">
      <c r="A477" t="s">
        <v>557</v>
      </c>
      <c r="B477" s="1">
        <v>46299</v>
      </c>
      <c r="C477" t="s">
        <v>31</v>
      </c>
      <c r="D477" t="s">
        <v>21</v>
      </c>
      <c r="E477" t="s">
        <v>22</v>
      </c>
      <c r="F477" t="s">
        <v>60</v>
      </c>
      <c r="G477" t="s">
        <v>76</v>
      </c>
      <c r="H477" t="s">
        <v>33</v>
      </c>
      <c r="I477">
        <v>1</v>
      </c>
      <c r="J477">
        <v>728</v>
      </c>
      <c r="K477">
        <v>0</v>
      </c>
      <c r="L477">
        <v>728</v>
      </c>
    </row>
    <row r="478" spans="1:12">
      <c r="A478" t="s">
        <v>553</v>
      </c>
      <c r="B478" s="1">
        <v>46298</v>
      </c>
      <c r="C478" t="s">
        <v>31</v>
      </c>
      <c r="D478" t="s">
        <v>41</v>
      </c>
      <c r="E478" t="s">
        <v>22</v>
      </c>
      <c r="F478" t="s">
        <v>23</v>
      </c>
      <c r="G478" t="s">
        <v>138</v>
      </c>
      <c r="H478" t="s">
        <v>79</v>
      </c>
      <c r="I478">
        <v>6</v>
      </c>
      <c r="J478">
        <v>63.6</v>
      </c>
      <c r="K478">
        <v>0.05</v>
      </c>
      <c r="L478">
        <v>362.52</v>
      </c>
    </row>
    <row r="479" spans="1:12">
      <c r="A479" t="s">
        <v>552</v>
      </c>
      <c r="B479" s="1">
        <v>46208</v>
      </c>
      <c r="C479" t="s">
        <v>31</v>
      </c>
      <c r="D479" t="s">
        <v>14</v>
      </c>
      <c r="E479" t="s">
        <v>22</v>
      </c>
      <c r="F479" t="s">
        <v>27</v>
      </c>
      <c r="G479" t="s">
        <v>28</v>
      </c>
      <c r="H479" t="s">
        <v>79</v>
      </c>
      <c r="I479">
        <v>1</v>
      </c>
      <c r="J479">
        <v>20.8</v>
      </c>
      <c r="K479">
        <v>0.08</v>
      </c>
      <c r="L479">
        <v>19.136000000000003</v>
      </c>
    </row>
    <row r="480" spans="1:12">
      <c r="A480" t="s">
        <v>551</v>
      </c>
      <c r="B480" s="1">
        <v>46134</v>
      </c>
      <c r="C480" t="s">
        <v>31</v>
      </c>
      <c r="D480" t="s">
        <v>14</v>
      </c>
      <c r="E480" t="s">
        <v>22</v>
      </c>
      <c r="F480" t="s">
        <v>16</v>
      </c>
      <c r="G480" t="s">
        <v>65</v>
      </c>
      <c r="H480" t="s">
        <v>33</v>
      </c>
      <c r="I480">
        <v>4</v>
      </c>
      <c r="J480">
        <v>84.8</v>
      </c>
      <c r="K480">
        <v>0.05</v>
      </c>
      <c r="L480">
        <v>322.23999999999995</v>
      </c>
    </row>
    <row r="481" spans="1:12">
      <c r="A481" t="s">
        <v>550</v>
      </c>
      <c r="B481" s="1">
        <v>46365</v>
      </c>
      <c r="C481" t="s">
        <v>31</v>
      </c>
      <c r="D481" t="s">
        <v>14</v>
      </c>
      <c r="E481" t="s">
        <v>15</v>
      </c>
      <c r="F481" t="s">
        <v>16</v>
      </c>
      <c r="G481" t="s">
        <v>65</v>
      </c>
      <c r="H481" t="s">
        <v>39</v>
      </c>
      <c r="I481">
        <v>3</v>
      </c>
      <c r="J481">
        <v>80</v>
      </c>
      <c r="K481">
        <v>0.1</v>
      </c>
      <c r="L481">
        <v>216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B54E-1BDA-46EB-A5E9-6C71FC3A11E4}">
  <dimension ref="B2:O48"/>
  <sheetViews>
    <sheetView zoomScale="90" zoomScaleNormal="90" workbookViewId="0">
      <selection activeCell="O14" sqref="O14"/>
    </sheetView>
  </sheetViews>
  <sheetFormatPr defaultRowHeight="15"/>
  <cols>
    <col min="2" max="2" width="13.42578125" bestFit="1" customWidth="1"/>
    <col min="3" max="3" width="15.85546875" bestFit="1" customWidth="1"/>
    <col min="4" max="4" width="17" bestFit="1" customWidth="1"/>
    <col min="5" max="5" width="13.42578125" bestFit="1" customWidth="1"/>
    <col min="6" max="6" width="15.85546875" bestFit="1" customWidth="1"/>
    <col min="8" max="8" width="14.28515625" bestFit="1" customWidth="1"/>
    <col min="9" max="9" width="15.85546875" bestFit="1" customWidth="1"/>
    <col min="11" max="11" width="15" bestFit="1" customWidth="1"/>
    <col min="12" max="12" width="15.85546875" bestFit="1" customWidth="1"/>
    <col min="14" max="14" width="16.85546875" bestFit="1" customWidth="1"/>
    <col min="15" max="15" width="15.85546875" bestFit="1" customWidth="1"/>
  </cols>
  <sheetData>
    <row r="2" spans="2:8" ht="18.75">
      <c r="B2" s="6" t="s">
        <v>2097</v>
      </c>
    </row>
    <row r="4" spans="2:8">
      <c r="B4" s="7" t="s">
        <v>2073</v>
      </c>
    </row>
    <row r="5" spans="2:8">
      <c r="B5" s="8" t="s">
        <v>2075</v>
      </c>
    </row>
    <row r="6" spans="2:8">
      <c r="B6" s="8" t="s">
        <v>2076</v>
      </c>
    </row>
    <row r="7" spans="2:8">
      <c r="B7" s="8" t="s">
        <v>2079</v>
      </c>
    </row>
    <row r="8" spans="2:8">
      <c r="B8" s="8" t="s">
        <v>2080</v>
      </c>
    </row>
    <row r="9" spans="2:8">
      <c r="B9" s="8" t="s">
        <v>2083</v>
      </c>
    </row>
    <row r="10" spans="2:8">
      <c r="B10" s="8" t="s">
        <v>2086</v>
      </c>
    </row>
    <row r="11" spans="2:8">
      <c r="B11" s="8" t="s">
        <v>2090</v>
      </c>
    </row>
    <row r="12" spans="2:8">
      <c r="B12" s="8" t="s">
        <v>2092</v>
      </c>
    </row>
    <row r="13" spans="2:8">
      <c r="B13" s="9" t="s">
        <v>2094</v>
      </c>
    </row>
    <row r="16" spans="2:8">
      <c r="B16" t="s">
        <v>2098</v>
      </c>
      <c r="D16" t="s">
        <v>2099</v>
      </c>
      <c r="F16" t="s">
        <v>2100</v>
      </c>
      <c r="H16" t="s">
        <v>2101</v>
      </c>
    </row>
    <row r="17" spans="2:15">
      <c r="B17" s="10">
        <v>2452084.3012999957</v>
      </c>
      <c r="D17" s="21">
        <v>2000</v>
      </c>
      <c r="F17" s="21">
        <v>5552</v>
      </c>
      <c r="H17" s="10">
        <v>1226.0421506499979</v>
      </c>
    </row>
    <row r="20" spans="2:15">
      <c r="B20" s="4" t="s">
        <v>2102</v>
      </c>
      <c r="C20" t="s">
        <v>2098</v>
      </c>
      <c r="E20" s="4" t="s">
        <v>2102</v>
      </c>
      <c r="F20" t="s">
        <v>2098</v>
      </c>
      <c r="H20" s="4" t="s">
        <v>2102</v>
      </c>
      <c r="I20" t="s">
        <v>2098</v>
      </c>
      <c r="K20" s="4" t="s">
        <v>2102</v>
      </c>
      <c r="L20" t="s">
        <v>2098</v>
      </c>
      <c r="N20" s="4" t="s">
        <v>2102</v>
      </c>
      <c r="O20" t="s">
        <v>2098</v>
      </c>
    </row>
    <row r="21" spans="2:15">
      <c r="B21" s="5" t="s">
        <v>2104</v>
      </c>
      <c r="C21" s="10">
        <v>168680.62810000006</v>
      </c>
      <c r="E21" s="5" t="s">
        <v>47</v>
      </c>
      <c r="F21" s="10">
        <v>556705.17709999974</v>
      </c>
      <c r="H21" s="5" t="s">
        <v>48</v>
      </c>
      <c r="I21" s="10">
        <v>1346491.2599999995</v>
      </c>
      <c r="K21" s="5" t="s">
        <v>35</v>
      </c>
      <c r="L21" s="10">
        <v>718745.00499999954</v>
      </c>
      <c r="N21" s="5" t="s">
        <v>49</v>
      </c>
      <c r="O21" s="10">
        <v>432576.06000000017</v>
      </c>
    </row>
    <row r="22" spans="2:15">
      <c r="B22" s="5" t="s">
        <v>2105</v>
      </c>
      <c r="C22" s="10">
        <v>173605.24770000001</v>
      </c>
      <c r="E22" s="5" t="s">
        <v>20</v>
      </c>
      <c r="F22" s="10">
        <v>467808.84970000037</v>
      </c>
      <c r="H22" s="5" t="s">
        <v>60</v>
      </c>
      <c r="I22" s="10">
        <v>526744.59000000008</v>
      </c>
      <c r="K22" s="5" t="s">
        <v>41</v>
      </c>
      <c r="L22" s="10">
        <v>310402.93139999988</v>
      </c>
      <c r="N22" s="5" t="s">
        <v>96</v>
      </c>
      <c r="O22" s="10">
        <v>273532.5</v>
      </c>
    </row>
    <row r="23" spans="2:15">
      <c r="B23" s="5" t="s">
        <v>2106</v>
      </c>
      <c r="C23" s="10">
        <v>236738.69749999995</v>
      </c>
      <c r="E23" s="5" t="s">
        <v>31</v>
      </c>
      <c r="F23" s="10">
        <v>561753.72460000007</v>
      </c>
      <c r="H23" s="5" t="s">
        <v>27</v>
      </c>
      <c r="I23" s="10">
        <v>259475.30900000001</v>
      </c>
      <c r="K23" s="5" t="s">
        <v>14</v>
      </c>
      <c r="L23" s="10">
        <v>791536.99460000044</v>
      </c>
      <c r="N23" s="5" t="s">
        <v>71</v>
      </c>
      <c r="O23" s="10">
        <v>263486.39999999991</v>
      </c>
    </row>
    <row r="24" spans="2:15">
      <c r="B24" s="5" t="s">
        <v>2107</v>
      </c>
      <c r="C24" s="10">
        <v>241034.34019999998</v>
      </c>
      <c r="E24" s="5" t="s">
        <v>86</v>
      </c>
      <c r="F24" s="10">
        <v>444494.30199999973</v>
      </c>
      <c r="H24" s="5" t="s">
        <v>23</v>
      </c>
      <c r="I24" s="10">
        <v>229837.62600000011</v>
      </c>
      <c r="K24" s="5" t="s">
        <v>21</v>
      </c>
      <c r="L24" s="10">
        <v>631399.37030000018</v>
      </c>
      <c r="N24" s="5" t="s">
        <v>99</v>
      </c>
      <c r="O24" s="10">
        <v>254994.00000000003</v>
      </c>
    </row>
    <row r="25" spans="2:15">
      <c r="B25" s="5" t="s">
        <v>2108</v>
      </c>
      <c r="C25" s="10">
        <v>153642.42719999998</v>
      </c>
      <c r="E25" s="5" t="s">
        <v>13</v>
      </c>
      <c r="F25" s="10">
        <v>421322.24789999996</v>
      </c>
      <c r="H25" s="5" t="s">
        <v>16</v>
      </c>
      <c r="I25" s="10">
        <v>72895.258099999992</v>
      </c>
      <c r="K25" s="5" t="s">
        <v>2103</v>
      </c>
      <c r="L25" s="10">
        <v>2452084.3012999999</v>
      </c>
      <c r="N25" s="5" t="s">
        <v>67</v>
      </c>
      <c r="O25" s="10">
        <v>190959.45000000004</v>
      </c>
    </row>
    <row r="26" spans="2:15">
      <c r="B26" s="5" t="s">
        <v>2109</v>
      </c>
      <c r="C26" s="10">
        <v>258658.95200000011</v>
      </c>
      <c r="E26" s="5" t="s">
        <v>2103</v>
      </c>
      <c r="F26" s="10">
        <v>2452084.3012999999</v>
      </c>
      <c r="H26" s="5" t="s">
        <v>73</v>
      </c>
      <c r="I26" s="10">
        <v>16640.258200000007</v>
      </c>
      <c r="N26" s="5" t="s">
        <v>2103</v>
      </c>
      <c r="O26" s="10">
        <v>1415548.4100000001</v>
      </c>
    </row>
    <row r="27" spans="2:15">
      <c r="B27" s="5" t="s">
        <v>2110</v>
      </c>
      <c r="C27" s="10">
        <v>150713.13980000003</v>
      </c>
      <c r="H27" s="5" t="s">
        <v>2103</v>
      </c>
      <c r="I27" s="10">
        <v>2452084.3012999999</v>
      </c>
    </row>
    <row r="28" spans="2:15">
      <c r="B28" s="5" t="s">
        <v>2111</v>
      </c>
      <c r="C28" s="10">
        <v>185321.6210000001</v>
      </c>
    </row>
    <row r="29" spans="2:15">
      <c r="B29" s="5" t="s">
        <v>2112</v>
      </c>
      <c r="C29" s="10">
        <v>233080.36130000014</v>
      </c>
    </row>
    <row r="30" spans="2:15">
      <c r="B30" s="5" t="s">
        <v>2113</v>
      </c>
      <c r="C30" s="10">
        <v>189721.56950000001</v>
      </c>
    </row>
    <row r="31" spans="2:15">
      <c r="B31" s="5" t="s">
        <v>2114</v>
      </c>
      <c r="C31" s="10">
        <v>274368.30580000003</v>
      </c>
    </row>
    <row r="32" spans="2:15">
      <c r="B32" s="5" t="s">
        <v>2115</v>
      </c>
      <c r="C32" s="10">
        <v>186519.01119999995</v>
      </c>
    </row>
    <row r="33" spans="2:12">
      <c r="B33" s="5" t="s">
        <v>2103</v>
      </c>
      <c r="C33" s="10">
        <v>2452084.3013000004</v>
      </c>
    </row>
    <row r="48" spans="2:12">
      <c r="L48" t="s">
        <v>2116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BDBE-A024-4C4D-884F-9B65210EB345}">
  <dimension ref="A2:T37"/>
  <sheetViews>
    <sheetView showGridLines="0" topLeftCell="A14" workbookViewId="0">
      <selection activeCell="B4" sqref="B4:T4"/>
    </sheetView>
  </sheetViews>
  <sheetFormatPr defaultRowHeight="15"/>
  <cols>
    <col min="2" max="2" width="11.42578125" bestFit="1" customWidth="1"/>
  </cols>
  <sheetData>
    <row r="2" spans="1:20" ht="26.25">
      <c r="A2" s="12"/>
      <c r="B2" s="13" t="s">
        <v>2117</v>
      </c>
      <c r="C2" s="13"/>
      <c r="D2" s="13"/>
      <c r="E2" s="13"/>
      <c r="F2" s="13"/>
      <c r="G2" s="13"/>
      <c r="H2" s="13"/>
      <c r="I2" s="13"/>
      <c r="J2" s="13"/>
      <c r="K2" s="13"/>
      <c r="L2" s="13"/>
      <c r="M2" s="13"/>
      <c r="N2" s="13"/>
      <c r="O2" s="13"/>
      <c r="P2" s="13"/>
      <c r="Q2" s="13"/>
      <c r="R2" s="13"/>
      <c r="S2" s="13"/>
      <c r="T2" s="13"/>
    </row>
    <row r="3" spans="1:20">
      <c r="A3" s="12"/>
      <c r="B3" s="12"/>
      <c r="C3" s="12"/>
      <c r="D3" s="12"/>
      <c r="E3" s="12"/>
      <c r="F3" s="12"/>
      <c r="G3" s="12"/>
      <c r="H3" s="12"/>
      <c r="I3" s="12"/>
      <c r="J3" s="12"/>
      <c r="K3" s="12"/>
      <c r="L3" s="12"/>
      <c r="M3" s="12"/>
      <c r="N3" s="12"/>
      <c r="O3" s="12"/>
      <c r="P3" s="12"/>
      <c r="Q3" s="12"/>
      <c r="R3" s="12"/>
      <c r="S3" s="12"/>
      <c r="T3" s="12"/>
    </row>
    <row r="4" spans="1:20">
      <c r="A4" s="12"/>
      <c r="B4" s="14" t="s">
        <v>2118</v>
      </c>
      <c r="C4" s="14"/>
      <c r="D4" s="14"/>
      <c r="E4" s="14"/>
      <c r="F4" s="14"/>
      <c r="G4" s="14"/>
      <c r="H4" s="14"/>
      <c r="I4" s="14"/>
      <c r="J4" s="14"/>
      <c r="K4" s="14"/>
      <c r="L4" s="14"/>
      <c r="M4" s="14"/>
      <c r="N4" s="14"/>
      <c r="O4" s="14"/>
      <c r="P4" s="14"/>
      <c r="Q4" s="14"/>
      <c r="R4" s="14"/>
      <c r="S4" s="14"/>
      <c r="T4" s="14"/>
    </row>
    <row r="5" spans="1:20" ht="21.95" customHeight="1">
      <c r="A5" s="15"/>
      <c r="B5" s="16"/>
      <c r="C5" s="16"/>
      <c r="D5" s="16"/>
      <c r="E5" s="18"/>
      <c r="F5" s="16"/>
      <c r="G5" s="16"/>
      <c r="H5" s="16"/>
      <c r="I5" s="16"/>
      <c r="J5" s="16"/>
      <c r="K5" s="16"/>
      <c r="L5" s="16"/>
      <c r="M5" s="16"/>
      <c r="N5" s="16"/>
      <c r="O5" s="16"/>
      <c r="P5" s="16"/>
      <c r="Q5" s="16"/>
      <c r="R5" s="16"/>
      <c r="S5" s="16"/>
      <c r="T5" s="16"/>
    </row>
    <row r="6" spans="1:20" ht="21.95" customHeight="1">
      <c r="A6" s="15"/>
      <c r="B6" s="19" t="s">
        <v>2119</v>
      </c>
      <c r="C6" s="19"/>
      <c r="D6" s="19"/>
      <c r="E6" s="19"/>
      <c r="F6" s="16"/>
      <c r="G6" s="19" t="s">
        <v>2120</v>
      </c>
      <c r="H6" s="19"/>
      <c r="I6" s="19"/>
      <c r="J6" s="19"/>
      <c r="K6" s="16"/>
      <c r="L6" s="19" t="s">
        <v>2121</v>
      </c>
      <c r="M6" s="19"/>
      <c r="N6" s="19"/>
      <c r="O6" s="19"/>
      <c r="P6" s="16"/>
      <c r="Q6" s="19" t="s">
        <v>2122</v>
      </c>
      <c r="R6" s="19"/>
      <c r="S6" s="19"/>
      <c r="T6" s="19"/>
    </row>
    <row r="7" spans="1:20" ht="21.95" customHeight="1">
      <c r="A7" s="15"/>
      <c r="B7" s="20">
        <f>GETPIVOTDATA("Revenue",Supporting_Pivots!$B$16)</f>
        <v>2452084.3012999957</v>
      </c>
      <c r="C7" s="20"/>
      <c r="D7" s="20"/>
      <c r="E7" s="20"/>
      <c r="F7" s="16"/>
      <c r="G7" s="23">
        <f>GETPIVOTDATA("Order ID",Supporting_Pivots!$D$16)</f>
        <v>2000</v>
      </c>
      <c r="H7" s="23"/>
      <c r="I7" s="23"/>
      <c r="J7" s="23"/>
      <c r="K7" s="16"/>
      <c r="L7" s="22">
        <f>GETPIVOTDATA("Quantity",Supporting_Pivots!$F$16)</f>
        <v>5552</v>
      </c>
      <c r="M7" s="22"/>
      <c r="N7" s="22"/>
      <c r="O7" s="22"/>
      <c r="P7" s="16"/>
      <c r="Q7" s="20">
        <f>GETPIVOTDATA("Revenue",Supporting_Pivots!$H$16)</f>
        <v>1226.0421506499979</v>
      </c>
      <c r="R7" s="20"/>
      <c r="S7" s="20"/>
      <c r="T7" s="20"/>
    </row>
    <row r="8" spans="1:20" ht="21.95" customHeight="1">
      <c r="A8" s="15"/>
      <c r="B8" s="17"/>
      <c r="C8" s="16"/>
      <c r="D8" s="16"/>
      <c r="E8" s="16"/>
      <c r="F8" s="16"/>
      <c r="G8" s="16"/>
      <c r="H8" s="16"/>
      <c r="I8" s="16"/>
      <c r="J8" s="16"/>
      <c r="K8" s="16"/>
      <c r="L8" s="16"/>
      <c r="M8" s="16"/>
      <c r="N8" s="16"/>
      <c r="O8" s="16"/>
      <c r="P8" s="16"/>
      <c r="Q8" s="16"/>
      <c r="R8" s="16"/>
      <c r="S8" s="16"/>
      <c r="T8" s="16"/>
    </row>
    <row r="9" spans="1:20" ht="21.95" customHeight="1">
      <c r="A9" s="15"/>
      <c r="B9" s="16"/>
      <c r="C9" s="16"/>
      <c r="D9" s="16"/>
      <c r="E9" s="16"/>
      <c r="F9" s="16"/>
      <c r="G9" s="16"/>
      <c r="H9" s="16"/>
      <c r="I9" s="16"/>
      <c r="J9" s="16"/>
      <c r="K9" s="16"/>
      <c r="L9" s="16"/>
      <c r="M9" s="16"/>
      <c r="N9" s="16"/>
      <c r="O9" s="16"/>
      <c r="P9" s="16"/>
      <c r="Q9" s="16"/>
      <c r="R9" s="16"/>
      <c r="S9" s="16"/>
      <c r="T9" s="16"/>
    </row>
    <row r="37" spans="1:20">
      <c r="A37" s="11"/>
      <c r="T37" s="11"/>
    </row>
  </sheetData>
  <mergeCells count="10">
    <mergeCell ref="Q6:T6"/>
    <mergeCell ref="Q7:T7"/>
    <mergeCell ref="B2:T2"/>
    <mergeCell ref="B4:T4"/>
    <mergeCell ref="B6:E6"/>
    <mergeCell ref="B7:E7"/>
    <mergeCell ref="G6:J6"/>
    <mergeCell ref="G7:J7"/>
    <mergeCell ref="L6:O6"/>
    <mergeCell ref="L7:O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AF0C-ABBC-4440-A3B3-36BDAE4B4172}">
  <dimension ref="A1:U34"/>
  <sheetViews>
    <sheetView showGridLines="0" tabSelected="1" zoomScale="96" workbookViewId="0">
      <selection activeCell="S2" sqref="S2"/>
    </sheetView>
  </sheetViews>
  <sheetFormatPr defaultRowHeight="15"/>
  <cols>
    <col min="19" max="19" width="10.5703125" bestFit="1" customWidth="1"/>
  </cols>
  <sheetData>
    <row r="1" spans="1:21" s="12" customFormat="1" ht="15" customHeight="1">
      <c r="A1" s="25" t="s">
        <v>2124</v>
      </c>
      <c r="B1" s="25"/>
      <c r="C1" s="25"/>
      <c r="D1" s="25"/>
      <c r="E1" s="25"/>
      <c r="F1" s="25"/>
      <c r="G1" s="25"/>
      <c r="H1" s="25"/>
      <c r="I1" s="25"/>
      <c r="J1" s="25"/>
      <c r="K1" s="25"/>
      <c r="L1" s="25"/>
      <c r="M1" s="25"/>
      <c r="N1" s="25"/>
      <c r="O1" s="25"/>
      <c r="P1" s="25"/>
      <c r="Q1" s="29"/>
      <c r="R1" s="29"/>
      <c r="S1" s="27" t="s">
        <v>2125</v>
      </c>
      <c r="T1" s="26"/>
      <c r="U1" s="26"/>
    </row>
    <row r="2" spans="1:21" s="12" customFormat="1" ht="15" customHeight="1">
      <c r="A2" s="25"/>
      <c r="B2" s="25"/>
      <c r="C2" s="25"/>
      <c r="D2" s="25"/>
      <c r="E2" s="25"/>
      <c r="F2" s="25"/>
      <c r="G2" s="25"/>
      <c r="H2" s="25"/>
      <c r="I2" s="25"/>
      <c r="J2" s="25"/>
      <c r="K2" s="25"/>
      <c r="L2" s="25"/>
      <c r="M2" s="25"/>
      <c r="N2" s="25"/>
      <c r="O2" s="25"/>
      <c r="P2" s="25"/>
      <c r="Q2" s="29"/>
      <c r="R2" s="29"/>
      <c r="S2" s="28">
        <f>MAX(Sales_Data[[#All],[Date]])</f>
        <v>46387</v>
      </c>
      <c r="T2" s="26"/>
      <c r="U2" s="26"/>
    </row>
    <row r="3" spans="1:21" s="12" customFormat="1" ht="15.75">
      <c r="C3" s="31" t="s">
        <v>2118</v>
      </c>
      <c r="D3" s="31"/>
      <c r="E3" s="31"/>
      <c r="F3" s="31"/>
      <c r="G3" s="31"/>
      <c r="H3" s="31"/>
      <c r="I3" s="31"/>
      <c r="J3" s="31"/>
      <c r="K3" s="31"/>
      <c r="L3" s="31"/>
      <c r="M3" s="31"/>
      <c r="N3" s="31"/>
      <c r="O3" s="31"/>
      <c r="P3" s="31"/>
      <c r="Q3" s="30"/>
      <c r="R3" s="30"/>
      <c r="S3" s="30"/>
    </row>
    <row r="34" spans="1:21">
      <c r="A34" s="11"/>
      <c r="U34" s="11"/>
    </row>
  </sheetData>
  <mergeCells count="2">
    <mergeCell ref="A1:P2"/>
    <mergeCell ref="C3:P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Dashboard_Plan</vt:lpstr>
      <vt:lpstr>Detail1</vt:lpstr>
      <vt:lpstr>Supporting_Pivots</vt:lpstr>
      <vt:lpstr>Sales_Dashboard</vt:lpstr>
      <vt:lpstr>Sales_Revenue_Dashboard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Dwight Jones</dc:creator>
  <cp:lastModifiedBy>Dwight Jones</cp:lastModifiedBy>
  <dcterms:created xsi:type="dcterms:W3CDTF">2026-08-12T04:39:37Z</dcterms:created>
  <dcterms:modified xsi:type="dcterms:W3CDTF">2026-10-22T02:13:15Z</dcterms:modified>
</cp:coreProperties>
</file>